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xencechanier/Projects/tfe-lerobot-so101/docs/"/>
    </mc:Choice>
  </mc:AlternateContent>
  <xr:revisionPtr revIDLastSave="0" documentId="13_ncr:1_{C6B4C829-6A75-9C42-8643-DD3B9F3152F3}" xr6:coauthVersionLast="47" xr6:coauthVersionMax="47" xr10:uidLastSave="{00000000-0000-0000-0000-000000000000}"/>
  <bookViews>
    <workbookView xWindow="4420" yWindow="660" windowWidth="23920" windowHeight="13460" tabRatio="500" activeTab="1" xr2:uid="{00000000-000D-0000-FFFF-FFFF00000000}"/>
  </bookViews>
  <sheets>
    <sheet name="Plan" sheetId="1" r:id="rId1"/>
    <sheet name="Donnees" sheetId="2" r:id="rId2"/>
    <sheet name="Synthese" sheetId="3" r:id="rId3"/>
    <sheet name="Legend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3" l="1"/>
  <c r="B34" i="3"/>
  <c r="B33" i="3"/>
  <c r="C29" i="3"/>
  <c r="C28" i="3"/>
  <c r="G24" i="3"/>
  <c r="F24" i="3"/>
  <c r="E24" i="3"/>
  <c r="D24" i="3"/>
  <c r="C24" i="3"/>
  <c r="B24" i="3"/>
  <c r="A24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</calcChain>
</file>

<file path=xl/sharedStrings.xml><?xml version="1.0" encoding="utf-8"?>
<sst xmlns="http://schemas.openxmlformats.org/spreadsheetml/2006/main" count="633" uniqueCount="231">
  <si>
    <t>Campagne de tests — plan des lancements</t>
  </si>
  <si>
    <t>1 lancement = 1 objet x 1 detecteur x toutes les distances x N essais. Coche 'Statut' quand c'est fait.</t>
  </si>
  <si>
    <t>#</t>
  </si>
  <si>
    <t>Objet</t>
  </si>
  <si>
    <t>Detecteur</t>
  </si>
  <si>
    <t>Distances</t>
  </si>
  <si>
    <t>N</t>
  </si>
  <si>
    <t>Orientation a varier</t>
  </si>
  <si>
    <t>Commande</t>
  </si>
  <si>
    <t>Statut</t>
  </si>
  <si>
    <t>orange_cube</t>
  </si>
  <si>
    <t>hsv</t>
  </si>
  <si>
    <t>proche mi loin</t>
  </si>
  <si>
    <t>yaw (cube ~symetrique)</t>
  </si>
  <si>
    <t>python scripts/experiment_campaign.py --target orange_cube --detector hsv --n-per-position 10 --positions proche mi loin</t>
  </si>
  <si>
    <t>purple_cylinder</t>
  </si>
  <si>
    <t>debout ET couche (~5/5 par distance)</t>
  </si>
  <si>
    <t>python scripts/experiment_campaign.py --target purple_cylinder --detector hsv --n-per-position 10 --positions proche mi loin</t>
  </si>
  <si>
    <t>light_blue_ball</t>
  </si>
  <si>
    <t>aucune (sphere)</t>
  </si>
  <si>
    <t>python scripts/experiment_campaign.py --target light_blue_ball --detector hsv --n-per-position 10 --positions proche mi loin</t>
  </si>
  <si>
    <t>blue_rectangular_box</t>
  </si>
  <si>
    <t>a plat: yaw + face dessous</t>
  </si>
  <si>
    <t>python scripts/experiment_campaign.py --target blue_rectangular_box --detector hsv --n-per-position 10 --positions proche mi loin</t>
  </si>
  <si>
    <t>black_triangular_prism</t>
  </si>
  <si>
    <t>yaw + face dessous</t>
  </si>
  <si>
    <t>python scripts/experiment_campaign.py --target black_triangular_prism --detector hsv --n-per-position 10 --positions proche mi loin</t>
  </si>
  <si>
    <t>hf</t>
  </si>
  <si>
    <t>mi</t>
  </si>
  <si>
    <t>yaw</t>
  </si>
  <si>
    <t>python scripts/experiment_campaign.py --target orange_cube --detector hf --n-per-position 10 --positions mi</t>
  </si>
  <si>
    <t>yaw (HF voit mieux le noir ?)</t>
  </si>
  <si>
    <t>python scripts/experiment_campaign.py --target black_triangular_prism --detector hf --n-per-position 10 --positions mi</t>
  </si>
  <si>
    <t>aucune</t>
  </si>
  <si>
    <t>python scripts/experiment_campaign.py --target light_blue_ball --detector hf --n-per-position 10 --positions mi</t>
  </si>
  <si>
    <t>REMPLI AUTOMATIQUEMENT par le script (donnees auto + tes reponses aux questions de fin d'essai). Garde l'Excel FERME pendant un run. Tu peux corriger une cellule JAUNE a la main. La Synthese se met a jour seule.</t>
  </si>
  <si>
    <t>objet</t>
  </si>
  <si>
    <t>detecteur</t>
  </si>
  <si>
    <t>timestamp</t>
  </si>
  <si>
    <t>position</t>
  </si>
  <si>
    <t>trial</t>
  </si>
  <si>
    <t>success</t>
  </si>
  <si>
    <t>n_attempts</t>
  </si>
  <si>
    <t>duration_s</t>
  </si>
  <si>
    <t>grasp_pose_error_mm</t>
  </si>
  <si>
    <t>cam2_correction_mm</t>
  </si>
  <si>
    <t>last_gripper_pct</t>
  </si>
  <si>
    <t>last_margin_pct</t>
  </si>
  <si>
    <t>error</t>
  </si>
  <si>
    <t>orientation</t>
  </si>
  <si>
    <t>depose_boite</t>
  </si>
  <si>
    <t>mode_echec</t>
  </si>
  <si>
    <t>notes</t>
  </si>
  <si>
    <t>2026-06-27T11:27:00</t>
  </si>
  <si>
    <t>proche</t>
  </si>
  <si>
    <t>oui</t>
  </si>
  <si>
    <t>2026-06-27T12:25:45</t>
  </si>
  <si>
    <t>2026-06-27T12:30:22</t>
  </si>
  <si>
    <t>E7 - cam2 KO mais réussi</t>
  </si>
  <si>
    <t>2026-06-27T12:34:02</t>
  </si>
  <si>
    <t>2026-06-27T12:35:16</t>
  </si>
  <si>
    <t>non</t>
  </si>
  <si>
    <t>cam2 KO - stéréo E1</t>
  </si>
  <si>
    <t>2026-06-27T12:37:23</t>
  </si>
  <si>
    <t>2026-06-27T12:38:20</t>
  </si>
  <si>
    <t>2026-06-27T12:39:22</t>
  </si>
  <si>
    <t>E5 sur premiere tentative</t>
  </si>
  <si>
    <t>2026-06-27T12:41:26</t>
  </si>
  <si>
    <t>2026-06-27T12:42:56</t>
  </si>
  <si>
    <t>Failli laché dû à l'orientation du cube</t>
  </si>
  <si>
    <t>2026-06-27T14:41:23</t>
  </si>
  <si>
    <t>2026-06-27T14:42:36</t>
  </si>
  <si>
    <t>E5</t>
  </si>
  <si>
    <t>Dessus mais l'orientation a fait que</t>
  </si>
  <si>
    <t>2026-06-27T14:45:27</t>
  </si>
  <si>
    <t>E1</t>
  </si>
  <si>
    <t>Devant l'objet</t>
  </si>
  <si>
    <t>2026-06-27T14:59:30</t>
  </si>
  <si>
    <t>2026-06-27T15:00:59</t>
  </si>
  <si>
    <t>2026-06-27T15:02:07</t>
  </si>
  <si>
    <t>E4</t>
  </si>
  <si>
    <t>saisi sur tranche, pas bien tenu à la remontée, continuer en passant l'avoir saisi</t>
  </si>
  <si>
    <t>2026-06-27T15:12:22</t>
  </si>
  <si>
    <t>2026-06-27T15:16:11</t>
  </si>
  <si>
    <t>2026-06-27T15:30:18</t>
  </si>
  <si>
    <t>E2</t>
  </si>
  <si>
    <t>mauvaise stéréo</t>
  </si>
  <si>
    <t>2026-06-27T15:34:48</t>
  </si>
  <si>
    <t>2026-06-27T15:37:15</t>
  </si>
  <si>
    <t>loin</t>
  </si>
  <si>
    <t>2026-06-27T15:38:14</t>
  </si>
  <si>
    <t>objet à glisser en premiere tentative</t>
  </si>
  <si>
    <t>2026-06-27T16:01:04</t>
  </si>
  <si>
    <t>2026-06-27T16:02:32</t>
  </si>
  <si>
    <t>détecté trop loin par la stéréo, cam1 a exagéré</t>
  </si>
  <si>
    <t>2026-06-27T16:08:25</t>
  </si>
  <si>
    <t>2026-06-27T16:14:35</t>
  </si>
  <si>
    <t>objet qui a glisser et aussi pas assez bien positionné dessus</t>
  </si>
  <si>
    <t>2026-06-27T16:20:30</t>
  </si>
  <si>
    <t>accessible mais mauvaise stéréo</t>
  </si>
  <si>
    <t>2026-06-27T16:31:45</t>
  </si>
  <si>
    <t>2026-06-27T16:32:36</t>
  </si>
  <si>
    <t>E3</t>
  </si>
  <si>
    <t>objet plus loin que détecté</t>
  </si>
  <si>
    <t>2026-06-27T16:34:24</t>
  </si>
  <si>
    <t>mal positionné pour saisir</t>
  </si>
  <si>
    <t>2026-06-27T16:59:55</t>
  </si>
  <si>
    <t>2026-06-27T17:01:06</t>
  </si>
  <si>
    <t>2026-06-27T17:02:14</t>
  </si>
  <si>
    <t>2026-06-27T17:03:22</t>
  </si>
  <si>
    <t>2026-06-27T17:04:28</t>
  </si>
  <si>
    <t>premiere tentative raté dû à l'orientation de l'l'objet, saisi sur la tranche et glisser entre les pinces</t>
  </si>
  <si>
    <t>2026-06-27T17:06:44</t>
  </si>
  <si>
    <t>glisser entre les pinces, mauvaise prise sur premiere tentative</t>
  </si>
  <si>
    <t>2026-06-27T17:08:44</t>
  </si>
  <si>
    <t>glisser entre les pinces, saisi sur tranche premiere tentative</t>
  </si>
  <si>
    <t>2026-06-27T17:10:55</t>
  </si>
  <si>
    <t>saisi sur tranche parfaite</t>
  </si>
  <si>
    <t>2026-06-27T17:12:07</t>
  </si>
  <si>
    <t>2026-06-27T17:13:29</t>
  </si>
  <si>
    <t>2026-06-27T17:17:55</t>
  </si>
  <si>
    <t>pas très bien positionner mais réussi sur 2e tentative</t>
  </si>
  <si>
    <t>2026-06-27T17:27:02</t>
  </si>
  <si>
    <t>trop sur la gauche de l'objet, et pire pour la 1e tentative</t>
  </si>
  <si>
    <t>2026-06-27T17:29:27</t>
  </si>
  <si>
    <t>mauvaise stéréo qui empeche la saisi, objet pourtant à portée</t>
  </si>
  <si>
    <t>2026-06-27T17:30:41</t>
  </si>
  <si>
    <t>2026-06-27T17:31:46</t>
  </si>
  <si>
    <t>2026-06-27T17:33:01</t>
  </si>
  <si>
    <t>E1 sur 1e tentative et objet bougé, angle changé et réussi sur 2e tentative</t>
  </si>
  <si>
    <t>2026-06-27T17:36:07</t>
  </si>
  <si>
    <t>2026-06-27T17:37:25</t>
  </si>
  <si>
    <t>stéréo qui déconne</t>
  </si>
  <si>
    <t>2026-06-27T17:42:56</t>
  </si>
  <si>
    <t>E5 sur 1e tentative, réussi de justesse sur 2e tentative</t>
  </si>
  <si>
    <t>2026-06-27T17:47:21</t>
  </si>
  <si>
    <t>2026-06-27T17:49:03</t>
  </si>
  <si>
    <t>2026-06-27T17:51:10</t>
  </si>
  <si>
    <t>E1 et E3 sur 1e tentative</t>
  </si>
  <si>
    <t>2026-06-27T17:53:35</t>
  </si>
  <si>
    <t>2026-06-27T17:54:54</t>
  </si>
  <si>
    <t>mauvais tilt roll offset</t>
  </si>
  <si>
    <t>2026-06-27T19:28:19</t>
  </si>
  <si>
    <t>mauvaise perception et donc saisi à vide</t>
  </si>
  <si>
    <t>2026-06-27T19:30:31</t>
  </si>
  <si>
    <t>2026-06-27T19:32:10</t>
  </si>
  <si>
    <t>2026-06-27T19:34:18</t>
  </si>
  <si>
    <t>mauvaise perception, et donc fermé devant dans le vide</t>
  </si>
  <si>
    <t>2026-06-27T19:36:53</t>
  </si>
  <si>
    <t>2026-06-27T19:38:34</t>
  </si>
  <si>
    <t>mauvaise perception, saisi devant dans le vide</t>
  </si>
  <si>
    <t>2026-06-28T10:59:38</t>
  </si>
  <si>
    <t>debout</t>
  </si>
  <si>
    <t>E1 sur 1e tentetive</t>
  </si>
  <si>
    <t>2026-06-28T11:01:49</t>
  </si>
  <si>
    <t>couche</t>
  </si>
  <si>
    <t>2026-06-28T11:02:54</t>
  </si>
  <si>
    <t>2026-06-28T11:04:22</t>
  </si>
  <si>
    <t>2026-06-28T11:08:52</t>
  </si>
  <si>
    <t>détecté trop bas</t>
  </si>
  <si>
    <t>2026-06-28T11:10:59</t>
  </si>
  <si>
    <t>objet à glisser sur la 1e tentative</t>
  </si>
  <si>
    <t>2026-06-28T11:13:12</t>
  </si>
  <si>
    <t>2026-06-28T11:14:53</t>
  </si>
  <si>
    <t>2026-06-28T11:17:19</t>
  </si>
  <si>
    <t>2026-06-28T11:18:42</t>
  </si>
  <si>
    <t>E5 sur 1e tentative, a su se remettre mieux pour réussir</t>
  </si>
  <si>
    <t>2026-06-28T11:20:49</t>
  </si>
  <si>
    <t>a fait roulé l'objet sur 1e tentative</t>
  </si>
  <si>
    <t>2026-06-28T11:23:50</t>
  </si>
  <si>
    <t>2026-06-28T11:26:44</t>
  </si>
  <si>
    <t>2026-06-28T11:28:08</t>
  </si>
  <si>
    <t>2026-06-28T11:30:32</t>
  </si>
  <si>
    <t>mauvaise stéréo alors qu'atteignable</t>
  </si>
  <si>
    <t>2026-06-28T11:31:56</t>
  </si>
  <si>
    <t>2026-06-28T11:33:30</t>
  </si>
  <si>
    <t>2026-06-28T11:34:30</t>
  </si>
  <si>
    <t>Synthese (auto)</t>
  </si>
  <si>
    <t>Se calcule a partir de l'onglet Donnees. Vide tant qu'il n'y a pas d'essais.</t>
  </si>
  <si>
    <t>Taux de reussite — tenue apres levee (HSV)</t>
  </si>
  <si>
    <t>global</t>
  </si>
  <si>
    <t>Nombre d'essais (HSV)</t>
  </si>
  <si>
    <t>Modes d'echec (tous essais)</t>
  </si>
  <si>
    <t>E6</t>
  </si>
  <si>
    <t>E7</t>
  </si>
  <si>
    <t>perception</t>
  </si>
  <si>
    <t>IK injoignable</t>
  </si>
  <si>
    <t>fermeture a vide</t>
  </si>
  <si>
    <t>perte a la levee</t>
  </si>
  <si>
    <t>saisie orientation</t>
  </si>
  <si>
    <t>rate du depot</t>
  </si>
  <si>
    <t>materiel</t>
  </si>
  <si>
    <t>Precision moyenne (tous essais)</t>
  </si>
  <si>
    <t>Erreur de pose atteinte (mm)</t>
  </si>
  <si>
    <t>Correction cam_2 (mm)</t>
  </si>
  <si>
    <t>Taux de reussite — HF a mi</t>
  </si>
  <si>
    <t>Legende &amp; conventions</t>
  </si>
  <si>
    <t>COLONNES D'OBSERVATION (le script te les DEMANDE a chaque essai ; jaunes, modifiables a la main)</t>
  </si>
  <si>
    <t>pose physique de l'objet : debout / couche / a plat / sur tranche / aucune. ENTREE = idem essai precedent</t>
  </si>
  <si>
    <t>oui/non : l'objet est-il VRAIMENT tombe dans la boite ? ENTREE = auto (oui si saisi, non sinon). Le 'success' du script = seulement tenu apres la levee</t>
  </si>
  <si>
    <t>si rate, le code E1-E7 ci-dessous. Demande seulement quand l'essai a echoue</t>
  </si>
  <si>
    <t>tout ce qui est notable (cam_2 a decroche, objet a glisse, etc.). ENTREE = rien</t>
  </si>
  <si>
    <t>MODES D'ECHEC</t>
  </si>
  <si>
    <t>perception : objet mal localise ou non detecte</t>
  </si>
  <si>
    <t>IK : aucun angle d'attaque atteignable</t>
  </si>
  <si>
    <t>fermeture a vide : la pince se ferme sans rien attraper</t>
  </si>
  <si>
    <t>perte a la levee : l'objet attrape retombe en montant</t>
  </si>
  <si>
    <t>mauvaise saisie : prise sur coin/tranche a cause de l'orientation</t>
  </si>
  <si>
    <t>rate du depot : attrape/leve mais pas depose dans la boite</t>
  </si>
  <si>
    <t>materiel : cam_2 USB, moteur, hub, etc.</t>
  </si>
  <si>
    <t>COLONNES AUTOMATIQUES (remplies par le script)</t>
  </si>
  <si>
    <t>1 = objet tenu apres la levee (proxy couple/position). N'EST PAS le depot visuel -&gt; cf depose_boite</t>
  </si>
  <si>
    <t>1 = saisi du 1er coup, 2 = il a fallu un retry. Si &gt; 1 et echec final -&gt; compte comme rate</t>
  </si>
  <si>
    <t>duree totale du cycle (sec). HF sera plus lent que HSV (OWL-ViT)</t>
  </si>
  <si>
    <t>erreur de pose ATTEINTE = residu IK de la prise retenue (precision bras 5-DDL). Y-free</t>
  </si>
  <si>
    <t>amplitude de la correction cam_2 = ecart stereo -&gt; position raffinee (precision perception). Y-free</t>
  </si>
  <si>
    <t>CONVENTIONS DISTANCE</t>
  </si>
  <si>
    <t>proche / mi / loin</t>
  </si>
  <si>
    <t>vise un RAYON constant ~20 / ~30 / ~40 cm depuis la base (d = racine(x^2+y^2))</t>
  </si>
  <si>
    <t>varier la position</t>
  </si>
  <si>
    <t>deplace l'objet le long d'un ARC de ce rayon (varie le cote / l'angle), PAS seulement sur l'axe x. Tolerance ~+-2 cm sur le rayon</t>
  </si>
  <si>
    <t>WORKFLOW</t>
  </si>
  <si>
    <t>0</t>
  </si>
  <si>
    <t>garde CE classeur FERME pendant un run (sinon il est verrouille ; le script te previent)</t>
  </si>
  <si>
    <t>1</t>
  </si>
  <si>
    <t>lance une commande de l'onglet Plan. A CHAQUE essai le script demande : orientation / depose boite / mode echec / note (ENTREE = defaut)</t>
  </si>
  <si>
    <t>2</t>
  </si>
  <si>
    <t>a la fin de la commande, le script ecrit TOUT (auto + tes reponses) dans l'onglet Donnees, et aussi un CSV de secours dans outputs/experiments/</t>
  </si>
  <si>
    <t>3</t>
  </si>
  <si>
    <t>ouvre l'Excel : tout est rempli, la Synthese est a jour. Corrige une cellule jaune si besoin, coche 'Statut' dans Plan</t>
  </si>
  <si>
    <t>saisi devant et dans le vide même si contact à la fermeture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</si>
</sst>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3"/>
      <color rgb="FF1F4E78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C00000"/>
      <name val="Arial"/>
      <family val="2"/>
    </font>
    <font>
      <b/>
      <sz val="10"/>
      <color rgb="FF7F6000"/>
      <name val="Arial"/>
      <family val="2"/>
    </font>
    <font>
      <b/>
      <sz val="11"/>
      <color rgb="FF1F4E78"/>
      <name val="Arial"/>
      <family val="2"/>
    </font>
    <font>
      <sz val="8"/>
      <color rgb="FF59595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9" fontId="4" fillId="0" borderId="0" xfId="0" applyNumberFormat="1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3" width="10" customWidth="1"/>
    <col min="4" max="4" width="16" customWidth="1"/>
    <col min="5" max="5" width="4" customWidth="1"/>
    <col min="6" max="6" width="34" customWidth="1"/>
    <col min="7" max="7" width="78" customWidth="1"/>
    <col min="8" max="8" width="8" customWidth="1"/>
  </cols>
  <sheetData>
    <row r="1" spans="1:8" ht="16.25" customHeight="1" x14ac:dyDescent="0.2">
      <c r="A1" s="1" t="s">
        <v>0</v>
      </c>
    </row>
    <row r="2" spans="1:8" ht="15" customHeight="1" x14ac:dyDescent="0.2">
      <c r="A2" s="2" t="s">
        <v>1</v>
      </c>
    </row>
    <row r="4" spans="1:8" ht="1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23.75" customHeight="1" x14ac:dyDescent="0.2">
      <c r="A5" s="4">
        <v>1</v>
      </c>
      <c r="B5" s="4" t="s">
        <v>10</v>
      </c>
      <c r="C5" s="4" t="s">
        <v>11</v>
      </c>
      <c r="D5" s="4" t="s">
        <v>12</v>
      </c>
      <c r="E5" s="4">
        <v>10</v>
      </c>
      <c r="F5" s="4" t="s">
        <v>13</v>
      </c>
      <c r="G5" s="5" t="s">
        <v>14</v>
      </c>
      <c r="H5" s="4"/>
    </row>
    <row r="6" spans="1:8" ht="23.75" customHeight="1" x14ac:dyDescent="0.2">
      <c r="A6" s="4">
        <v>2</v>
      </c>
      <c r="B6" s="4" t="s">
        <v>15</v>
      </c>
      <c r="C6" s="4" t="s">
        <v>11</v>
      </c>
      <c r="D6" s="4" t="s">
        <v>12</v>
      </c>
      <c r="E6" s="4">
        <v>10</v>
      </c>
      <c r="F6" s="4" t="s">
        <v>16</v>
      </c>
      <c r="G6" s="5" t="s">
        <v>17</v>
      </c>
      <c r="H6" s="4"/>
    </row>
    <row r="7" spans="1:8" ht="23.75" customHeight="1" x14ac:dyDescent="0.2">
      <c r="A7" s="4">
        <v>3</v>
      </c>
      <c r="B7" s="4" t="s">
        <v>18</v>
      </c>
      <c r="C7" s="4" t="s">
        <v>11</v>
      </c>
      <c r="D7" s="4" t="s">
        <v>12</v>
      </c>
      <c r="E7" s="4">
        <v>10</v>
      </c>
      <c r="F7" s="4" t="s">
        <v>19</v>
      </c>
      <c r="G7" s="5" t="s">
        <v>20</v>
      </c>
      <c r="H7" s="4"/>
    </row>
    <row r="8" spans="1:8" ht="23.75" customHeight="1" x14ac:dyDescent="0.2">
      <c r="A8" s="4">
        <v>4</v>
      </c>
      <c r="B8" s="4" t="s">
        <v>21</v>
      </c>
      <c r="C8" s="4" t="s">
        <v>11</v>
      </c>
      <c r="D8" s="4" t="s">
        <v>12</v>
      </c>
      <c r="E8" s="4">
        <v>10</v>
      </c>
      <c r="F8" s="4" t="s">
        <v>22</v>
      </c>
      <c r="G8" s="5" t="s">
        <v>23</v>
      </c>
      <c r="H8" s="4"/>
    </row>
    <row r="9" spans="1:8" ht="23.75" customHeight="1" x14ac:dyDescent="0.2">
      <c r="A9" s="4">
        <v>5</v>
      </c>
      <c r="B9" s="4" t="s">
        <v>24</v>
      </c>
      <c r="C9" s="4" t="s">
        <v>11</v>
      </c>
      <c r="D9" s="4" t="s">
        <v>12</v>
      </c>
      <c r="E9" s="4">
        <v>10</v>
      </c>
      <c r="F9" s="4" t="s">
        <v>25</v>
      </c>
      <c r="G9" s="5" t="s">
        <v>26</v>
      </c>
      <c r="H9" s="4"/>
    </row>
    <row r="10" spans="1:8" ht="23.75" customHeight="1" x14ac:dyDescent="0.2">
      <c r="A10" s="4">
        <v>6</v>
      </c>
      <c r="B10" s="4" t="s">
        <v>10</v>
      </c>
      <c r="C10" s="4" t="s">
        <v>27</v>
      </c>
      <c r="D10" s="4" t="s">
        <v>28</v>
      </c>
      <c r="E10" s="4">
        <v>10</v>
      </c>
      <c r="F10" s="4" t="s">
        <v>29</v>
      </c>
      <c r="G10" s="5" t="s">
        <v>30</v>
      </c>
      <c r="H10" s="4"/>
    </row>
    <row r="11" spans="1:8" ht="23.75" customHeight="1" x14ac:dyDescent="0.2">
      <c r="A11" s="4">
        <v>7</v>
      </c>
      <c r="B11" s="4" t="s">
        <v>24</v>
      </c>
      <c r="C11" s="4" t="s">
        <v>27</v>
      </c>
      <c r="D11" s="4" t="s">
        <v>28</v>
      </c>
      <c r="E11" s="4">
        <v>10</v>
      </c>
      <c r="F11" s="4" t="s">
        <v>31</v>
      </c>
      <c r="G11" s="5" t="s">
        <v>32</v>
      </c>
      <c r="H11" s="4"/>
    </row>
    <row r="12" spans="1:8" ht="23.75" customHeight="1" x14ac:dyDescent="0.2">
      <c r="A12" s="4">
        <v>8</v>
      </c>
      <c r="B12" s="4" t="s">
        <v>18</v>
      </c>
      <c r="C12" s="4" t="s">
        <v>27</v>
      </c>
      <c r="D12" s="4" t="s">
        <v>28</v>
      </c>
      <c r="E12" s="4">
        <v>10</v>
      </c>
      <c r="F12" s="4" t="s">
        <v>33</v>
      </c>
      <c r="G12" s="5" t="s">
        <v>34</v>
      </c>
      <c r="H12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tabSelected="1" topLeftCell="E1" zoomScale="109" zoomScaleNormal="100" workbookViewId="0">
      <pane ySplit="2" topLeftCell="A58" activePane="bottomLeft" state="frozen"/>
      <selection pane="bottomLeft" activeCell="N75" sqref="N75"/>
    </sheetView>
  </sheetViews>
  <sheetFormatPr baseColWidth="10" defaultColWidth="8.6640625" defaultRowHeight="15" x14ac:dyDescent="0.2"/>
  <cols>
    <col min="1" max="1" width="22" customWidth="1"/>
    <col min="2" max="2" width="10" customWidth="1"/>
    <col min="3" max="3" width="18" customWidth="1"/>
    <col min="4" max="4" width="9" customWidth="1"/>
    <col min="5" max="5" width="6" customWidth="1"/>
    <col min="6" max="6" width="8" customWidth="1"/>
    <col min="7" max="8" width="11" customWidth="1"/>
    <col min="9" max="10" width="19" customWidth="1"/>
    <col min="11" max="12" width="15" customWidth="1"/>
    <col min="13" max="13" width="16" customWidth="1"/>
    <col min="14" max="15" width="13" customWidth="1"/>
    <col min="16" max="16" width="12" customWidth="1"/>
    <col min="17" max="17" width="30" customWidth="1"/>
  </cols>
  <sheetData>
    <row r="1" spans="1:17" ht="15" customHeight="1" x14ac:dyDescent="0.2">
      <c r="A1" s="6" t="s">
        <v>35</v>
      </c>
    </row>
    <row r="2" spans="1:17" ht="23.75" customHeight="1" x14ac:dyDescent="0.2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  <c r="L2" s="7" t="s">
        <v>47</v>
      </c>
      <c r="M2" s="7" t="s">
        <v>48</v>
      </c>
      <c r="N2" s="8" t="s">
        <v>49</v>
      </c>
      <c r="O2" s="8" t="s">
        <v>50</v>
      </c>
      <c r="P2" s="8" t="s">
        <v>51</v>
      </c>
      <c r="Q2" s="8" t="s">
        <v>52</v>
      </c>
    </row>
    <row r="3" spans="1:17" x14ac:dyDescent="0.2">
      <c r="A3" t="s">
        <v>10</v>
      </c>
      <c r="B3" t="s">
        <v>11</v>
      </c>
      <c r="C3" t="s">
        <v>53</v>
      </c>
      <c r="D3" t="s">
        <v>54</v>
      </c>
      <c r="E3">
        <v>1</v>
      </c>
      <c r="F3">
        <v>1</v>
      </c>
      <c r="G3">
        <v>1</v>
      </c>
      <c r="H3">
        <v>49.03</v>
      </c>
      <c r="I3">
        <v>0.12847228055787871</v>
      </c>
      <c r="J3">
        <v>1.7290147403420399</v>
      </c>
      <c r="K3">
        <v>10.796221322537111</v>
      </c>
      <c r="L3">
        <v>5.7962213225371126</v>
      </c>
      <c r="O3" t="s">
        <v>55</v>
      </c>
    </row>
    <row r="4" spans="1:17" x14ac:dyDescent="0.2">
      <c r="A4" t="s">
        <v>10</v>
      </c>
      <c r="B4" t="s">
        <v>11</v>
      </c>
      <c r="C4" t="s">
        <v>56</v>
      </c>
      <c r="D4" t="s">
        <v>54</v>
      </c>
      <c r="E4">
        <v>1</v>
      </c>
      <c r="F4">
        <v>1</v>
      </c>
      <c r="G4">
        <v>1</v>
      </c>
      <c r="H4">
        <v>47.72</v>
      </c>
      <c r="I4">
        <v>0.21139456008635771</v>
      </c>
      <c r="J4">
        <v>8.7080763970245467</v>
      </c>
      <c r="K4">
        <v>11.53846153846154</v>
      </c>
      <c r="L4">
        <v>6.5384615384615383</v>
      </c>
      <c r="O4" t="s">
        <v>55</v>
      </c>
    </row>
    <row r="5" spans="1:17" x14ac:dyDescent="0.2">
      <c r="A5" t="s">
        <v>10</v>
      </c>
      <c r="B5" t="s">
        <v>11</v>
      </c>
      <c r="C5" t="s">
        <v>57</v>
      </c>
      <c r="D5" t="s">
        <v>54</v>
      </c>
      <c r="E5">
        <v>1</v>
      </c>
      <c r="F5">
        <v>1</v>
      </c>
      <c r="G5">
        <v>1</v>
      </c>
      <c r="H5">
        <v>51.44</v>
      </c>
      <c r="I5">
        <v>0.23439674994243481</v>
      </c>
      <c r="J5">
        <v>21.281226358741382</v>
      </c>
      <c r="K5">
        <v>11.06612685560054</v>
      </c>
      <c r="L5">
        <v>6.0661268556005403</v>
      </c>
      <c r="O5" t="s">
        <v>55</v>
      </c>
      <c r="Q5" t="s">
        <v>58</v>
      </c>
    </row>
    <row r="6" spans="1:17" x14ac:dyDescent="0.2">
      <c r="A6" t="s">
        <v>10</v>
      </c>
      <c r="B6" t="s">
        <v>11</v>
      </c>
      <c r="C6" t="s">
        <v>59</v>
      </c>
      <c r="D6" t="s">
        <v>54</v>
      </c>
      <c r="E6">
        <v>1</v>
      </c>
      <c r="F6">
        <v>1</v>
      </c>
      <c r="G6">
        <v>1</v>
      </c>
      <c r="H6">
        <v>48.79</v>
      </c>
      <c r="I6">
        <v>0.44037421494887902</v>
      </c>
      <c r="J6">
        <v>12.964859546226711</v>
      </c>
      <c r="K6">
        <v>11.133603238866399</v>
      </c>
      <c r="L6">
        <v>6.1336032388663959</v>
      </c>
      <c r="O6" t="s">
        <v>55</v>
      </c>
    </row>
    <row r="7" spans="1:17" x14ac:dyDescent="0.2">
      <c r="A7" t="s">
        <v>10</v>
      </c>
      <c r="B7" t="s">
        <v>11</v>
      </c>
      <c r="C7" t="s">
        <v>60</v>
      </c>
      <c r="D7" t="s">
        <v>54</v>
      </c>
      <c r="E7">
        <v>1</v>
      </c>
      <c r="F7">
        <v>0</v>
      </c>
      <c r="G7">
        <v>2</v>
      </c>
      <c r="H7">
        <v>73.400000000000006</v>
      </c>
      <c r="I7">
        <v>0.28955552634932402</v>
      </c>
      <c r="K7">
        <v>6.3427800269905532</v>
      </c>
      <c r="L7">
        <v>1.342780026990553</v>
      </c>
      <c r="O7" t="s">
        <v>61</v>
      </c>
      <c r="Q7" t="s">
        <v>62</v>
      </c>
    </row>
    <row r="8" spans="1:17" x14ac:dyDescent="0.2">
      <c r="A8" t="s">
        <v>10</v>
      </c>
      <c r="B8" t="s">
        <v>11</v>
      </c>
      <c r="C8" t="s">
        <v>63</v>
      </c>
      <c r="D8" t="s">
        <v>54</v>
      </c>
      <c r="E8">
        <v>1</v>
      </c>
      <c r="F8">
        <v>1</v>
      </c>
      <c r="G8">
        <v>1</v>
      </c>
      <c r="H8">
        <v>48.68</v>
      </c>
      <c r="I8">
        <v>0.11557898667639099</v>
      </c>
      <c r="J8">
        <v>8.0093726652619939</v>
      </c>
      <c r="K8">
        <v>10.728744939271261</v>
      </c>
      <c r="L8">
        <v>5.7287449392712553</v>
      </c>
      <c r="O8" t="s">
        <v>55</v>
      </c>
    </row>
    <row r="9" spans="1:17" x14ac:dyDescent="0.2">
      <c r="A9" t="s">
        <v>10</v>
      </c>
      <c r="B9" t="s">
        <v>11</v>
      </c>
      <c r="C9" t="s">
        <v>64</v>
      </c>
      <c r="D9" t="s">
        <v>54</v>
      </c>
      <c r="E9">
        <v>1</v>
      </c>
      <c r="F9">
        <v>1</v>
      </c>
      <c r="G9">
        <v>1</v>
      </c>
      <c r="H9">
        <v>45.56</v>
      </c>
      <c r="I9">
        <v>0.3338378989960572</v>
      </c>
      <c r="J9">
        <v>17.337712424181049</v>
      </c>
      <c r="K9">
        <v>11.80836707152497</v>
      </c>
      <c r="L9">
        <v>6.808367071524966</v>
      </c>
      <c r="O9" t="s">
        <v>55</v>
      </c>
    </row>
    <row r="10" spans="1:17" x14ac:dyDescent="0.2">
      <c r="A10" t="s">
        <v>10</v>
      </c>
      <c r="B10" t="s">
        <v>11</v>
      </c>
      <c r="C10" t="s">
        <v>65</v>
      </c>
      <c r="D10" t="s">
        <v>54</v>
      </c>
      <c r="E10">
        <v>1</v>
      </c>
      <c r="F10">
        <v>1</v>
      </c>
      <c r="G10">
        <v>2</v>
      </c>
      <c r="H10">
        <v>60.69</v>
      </c>
      <c r="I10">
        <v>0.22470927083657949</v>
      </c>
      <c r="K10">
        <v>12.21322537112011</v>
      </c>
      <c r="L10">
        <v>7.2132253711201084</v>
      </c>
      <c r="O10" t="s">
        <v>55</v>
      </c>
      <c r="Q10" t="s">
        <v>66</v>
      </c>
    </row>
    <row r="11" spans="1:17" x14ac:dyDescent="0.2">
      <c r="A11" t="s">
        <v>10</v>
      </c>
      <c r="B11" t="s">
        <v>11</v>
      </c>
      <c r="C11" t="s">
        <v>67</v>
      </c>
      <c r="D11" t="s">
        <v>54</v>
      </c>
      <c r="E11">
        <v>1</v>
      </c>
      <c r="F11">
        <v>1</v>
      </c>
      <c r="G11">
        <v>1</v>
      </c>
      <c r="H11">
        <v>47.47</v>
      </c>
      <c r="I11">
        <v>0.29395737219937562</v>
      </c>
      <c r="J11">
        <v>8.9361244653442551</v>
      </c>
      <c r="K11">
        <v>11.33603238866397</v>
      </c>
      <c r="L11">
        <v>6.336032388663968</v>
      </c>
      <c r="O11" t="s">
        <v>55</v>
      </c>
    </row>
    <row r="12" spans="1:17" x14ac:dyDescent="0.2">
      <c r="A12" t="s">
        <v>10</v>
      </c>
      <c r="B12" t="s">
        <v>11</v>
      </c>
      <c r="C12" t="s">
        <v>68</v>
      </c>
      <c r="D12" t="s">
        <v>54</v>
      </c>
      <c r="E12">
        <v>1</v>
      </c>
      <c r="F12">
        <v>1</v>
      </c>
      <c r="G12">
        <v>1</v>
      </c>
      <c r="H12">
        <v>46.93</v>
      </c>
      <c r="I12">
        <v>0.21608888641678109</v>
      </c>
      <c r="J12">
        <v>16.725906717620671</v>
      </c>
      <c r="K12">
        <v>10.728744939271261</v>
      </c>
      <c r="L12">
        <v>5.7287449392712553</v>
      </c>
      <c r="O12" t="s">
        <v>55</v>
      </c>
      <c r="Q12" t="s">
        <v>69</v>
      </c>
    </row>
    <row r="13" spans="1:17" x14ac:dyDescent="0.2">
      <c r="A13" t="s">
        <v>10</v>
      </c>
      <c r="B13" t="s">
        <v>11</v>
      </c>
      <c r="C13" t="s">
        <v>70</v>
      </c>
      <c r="D13" t="s">
        <v>28</v>
      </c>
      <c r="E13">
        <v>1</v>
      </c>
      <c r="F13">
        <v>1</v>
      </c>
      <c r="G13">
        <v>1</v>
      </c>
      <c r="H13">
        <v>53.3</v>
      </c>
      <c r="I13">
        <v>1.304562843342475</v>
      </c>
      <c r="J13">
        <v>4.4007056716070752</v>
      </c>
      <c r="K13">
        <v>12.955465587044531</v>
      </c>
      <c r="L13">
        <v>7.9554655870445341</v>
      </c>
      <c r="O13" t="s">
        <v>55</v>
      </c>
    </row>
    <row r="14" spans="1:17" x14ac:dyDescent="0.2">
      <c r="A14" t="s">
        <v>10</v>
      </c>
      <c r="B14" t="s">
        <v>11</v>
      </c>
      <c r="C14" t="s">
        <v>71</v>
      </c>
      <c r="D14" t="s">
        <v>28</v>
      </c>
      <c r="E14">
        <v>1</v>
      </c>
      <c r="F14">
        <v>0</v>
      </c>
      <c r="G14">
        <v>2</v>
      </c>
      <c r="H14">
        <v>49.68</v>
      </c>
      <c r="I14">
        <v>5.0625246874015888</v>
      </c>
      <c r="J14">
        <v>16.81199606536719</v>
      </c>
      <c r="K14">
        <v>5.2631578947368416</v>
      </c>
      <c r="L14">
        <v>0.26315789473684159</v>
      </c>
      <c r="O14" t="s">
        <v>61</v>
      </c>
      <c r="P14" t="s">
        <v>72</v>
      </c>
      <c r="Q14" t="s">
        <v>73</v>
      </c>
    </row>
    <row r="15" spans="1:17" x14ac:dyDescent="0.2">
      <c r="A15" t="s">
        <v>10</v>
      </c>
      <c r="B15" t="s">
        <v>11</v>
      </c>
      <c r="C15" t="s">
        <v>74</v>
      </c>
      <c r="D15" t="s">
        <v>28</v>
      </c>
      <c r="E15">
        <v>1</v>
      </c>
      <c r="F15">
        <v>0</v>
      </c>
      <c r="G15">
        <v>2</v>
      </c>
      <c r="H15">
        <v>51.7</v>
      </c>
      <c r="I15">
        <v>7.5917959671925486</v>
      </c>
      <c r="J15">
        <v>18.808193339320891</v>
      </c>
      <c r="K15">
        <v>5.2631578947368416</v>
      </c>
      <c r="L15">
        <v>0.26315789473684159</v>
      </c>
      <c r="O15" t="s">
        <v>61</v>
      </c>
      <c r="P15" t="s">
        <v>75</v>
      </c>
      <c r="Q15" t="s">
        <v>76</v>
      </c>
    </row>
    <row r="16" spans="1:17" x14ac:dyDescent="0.2">
      <c r="A16" t="s">
        <v>10</v>
      </c>
      <c r="B16" t="s">
        <v>11</v>
      </c>
      <c r="C16" t="s">
        <v>77</v>
      </c>
      <c r="D16" t="s">
        <v>28</v>
      </c>
      <c r="E16">
        <v>1</v>
      </c>
      <c r="F16">
        <v>1</v>
      </c>
      <c r="G16">
        <v>1</v>
      </c>
      <c r="H16">
        <v>49.08</v>
      </c>
      <c r="I16">
        <v>1.969444257159779</v>
      </c>
      <c r="J16">
        <v>12.727127957851749</v>
      </c>
      <c r="K16">
        <v>12.48313090418354</v>
      </c>
      <c r="L16">
        <v>7.4831309041835361</v>
      </c>
      <c r="O16" t="s">
        <v>55</v>
      </c>
    </row>
    <row r="17" spans="1:17" x14ac:dyDescent="0.2">
      <c r="A17" t="s">
        <v>10</v>
      </c>
      <c r="B17" t="s">
        <v>11</v>
      </c>
      <c r="C17" t="s">
        <v>78</v>
      </c>
      <c r="D17" t="s">
        <v>28</v>
      </c>
      <c r="E17">
        <v>1</v>
      </c>
      <c r="F17">
        <v>1</v>
      </c>
      <c r="G17">
        <v>1</v>
      </c>
      <c r="H17">
        <v>57.95</v>
      </c>
      <c r="I17">
        <v>0.92220689643873188</v>
      </c>
      <c r="K17">
        <v>14.439946018893391</v>
      </c>
      <c r="L17">
        <v>9.4399460188933872</v>
      </c>
      <c r="O17" t="s">
        <v>55</v>
      </c>
    </row>
    <row r="18" spans="1:17" x14ac:dyDescent="0.2">
      <c r="A18" t="s">
        <v>10</v>
      </c>
      <c r="B18" t="s">
        <v>11</v>
      </c>
      <c r="C18" t="s">
        <v>79</v>
      </c>
      <c r="D18" t="s">
        <v>28</v>
      </c>
      <c r="E18">
        <v>1</v>
      </c>
      <c r="F18">
        <v>1</v>
      </c>
      <c r="G18">
        <v>1</v>
      </c>
      <c r="H18">
        <v>50.18</v>
      </c>
      <c r="I18">
        <v>0.40607595415441522</v>
      </c>
      <c r="J18">
        <v>14.708001886860639</v>
      </c>
      <c r="K18">
        <v>20.3778677462888</v>
      </c>
      <c r="L18">
        <v>15.3778677462888</v>
      </c>
      <c r="O18" t="s">
        <v>61</v>
      </c>
      <c r="P18" t="s">
        <v>80</v>
      </c>
      <c r="Q18" t="s">
        <v>81</v>
      </c>
    </row>
    <row r="19" spans="1:17" x14ac:dyDescent="0.2">
      <c r="A19" t="s">
        <v>10</v>
      </c>
      <c r="B19" t="s">
        <v>11</v>
      </c>
      <c r="C19" t="s">
        <v>82</v>
      </c>
      <c r="D19" t="s">
        <v>28</v>
      </c>
      <c r="E19">
        <v>1</v>
      </c>
      <c r="F19">
        <v>1</v>
      </c>
      <c r="G19">
        <v>1</v>
      </c>
      <c r="H19">
        <v>50.33</v>
      </c>
      <c r="I19">
        <v>0.49946834591012118</v>
      </c>
      <c r="J19">
        <v>19.690320283602588</v>
      </c>
      <c r="K19">
        <v>10.593792172739541</v>
      </c>
      <c r="L19">
        <v>5.5937921727395414</v>
      </c>
      <c r="O19" t="s">
        <v>55</v>
      </c>
    </row>
    <row r="20" spans="1:17" x14ac:dyDescent="0.2">
      <c r="A20" t="s">
        <v>10</v>
      </c>
      <c r="B20" t="s">
        <v>11</v>
      </c>
      <c r="C20" t="s">
        <v>83</v>
      </c>
      <c r="D20" t="s">
        <v>28</v>
      </c>
      <c r="E20">
        <v>1</v>
      </c>
      <c r="F20">
        <v>0</v>
      </c>
      <c r="G20">
        <v>2</v>
      </c>
      <c r="H20">
        <v>50.79</v>
      </c>
      <c r="I20">
        <v>7.0199861692407417</v>
      </c>
      <c r="J20">
        <v>12.40342307838913</v>
      </c>
      <c r="K20">
        <v>5.0607287449392713</v>
      </c>
      <c r="L20">
        <v>6.0728744939271273E-2</v>
      </c>
      <c r="O20" t="s">
        <v>61</v>
      </c>
      <c r="P20" t="s">
        <v>75</v>
      </c>
    </row>
    <row r="21" spans="1:17" x14ac:dyDescent="0.2">
      <c r="A21" t="s">
        <v>10</v>
      </c>
      <c r="B21" t="s">
        <v>11</v>
      </c>
      <c r="C21" t="s">
        <v>84</v>
      </c>
      <c r="D21" t="s">
        <v>28</v>
      </c>
      <c r="E21">
        <v>1</v>
      </c>
      <c r="F21">
        <v>0</v>
      </c>
      <c r="G21">
        <v>0</v>
      </c>
      <c r="H21">
        <v>8.2200000000000006</v>
      </c>
      <c r="O21" t="s">
        <v>61</v>
      </c>
      <c r="P21" t="s">
        <v>85</v>
      </c>
      <c r="Q21" t="s">
        <v>86</v>
      </c>
    </row>
    <row r="22" spans="1:17" x14ac:dyDescent="0.2">
      <c r="A22" t="s">
        <v>10</v>
      </c>
      <c r="B22" t="s">
        <v>11</v>
      </c>
      <c r="C22" t="s">
        <v>87</v>
      </c>
      <c r="D22" t="s">
        <v>28</v>
      </c>
      <c r="E22">
        <v>1</v>
      </c>
      <c r="F22">
        <v>1</v>
      </c>
      <c r="G22">
        <v>1</v>
      </c>
      <c r="H22">
        <v>49.32</v>
      </c>
      <c r="I22">
        <v>1.661532383508646</v>
      </c>
      <c r="J22">
        <v>8.2129818595485968</v>
      </c>
      <c r="K22">
        <v>12.55060728744939</v>
      </c>
      <c r="L22">
        <v>7.5506072874493917</v>
      </c>
      <c r="O22" t="s">
        <v>55</v>
      </c>
    </row>
    <row r="23" spans="1:17" x14ac:dyDescent="0.2">
      <c r="A23" t="s">
        <v>10</v>
      </c>
      <c r="B23" t="s">
        <v>11</v>
      </c>
      <c r="C23" t="s">
        <v>88</v>
      </c>
      <c r="D23" t="s">
        <v>89</v>
      </c>
      <c r="E23">
        <v>1</v>
      </c>
      <c r="F23">
        <v>1</v>
      </c>
      <c r="G23">
        <v>1</v>
      </c>
      <c r="H23">
        <v>48.59</v>
      </c>
      <c r="I23">
        <v>1.1015188582821931</v>
      </c>
      <c r="J23">
        <v>5.1607589352180883</v>
      </c>
      <c r="K23">
        <v>13.36032388663968</v>
      </c>
      <c r="L23">
        <v>8.3603238866396765</v>
      </c>
      <c r="O23" t="s">
        <v>55</v>
      </c>
    </row>
    <row r="24" spans="1:17" x14ac:dyDescent="0.2">
      <c r="A24" t="s">
        <v>10</v>
      </c>
      <c r="B24" t="s">
        <v>11</v>
      </c>
      <c r="C24" t="s">
        <v>90</v>
      </c>
      <c r="D24" t="s">
        <v>89</v>
      </c>
      <c r="E24">
        <v>1</v>
      </c>
      <c r="F24">
        <v>1</v>
      </c>
      <c r="G24">
        <v>2</v>
      </c>
      <c r="H24">
        <v>58.78</v>
      </c>
      <c r="I24">
        <v>0.27574603305385648</v>
      </c>
      <c r="J24">
        <v>29.075474945646079</v>
      </c>
      <c r="K24">
        <v>10.728744939271261</v>
      </c>
      <c r="L24">
        <v>5.7287449392712553</v>
      </c>
      <c r="O24" t="s">
        <v>55</v>
      </c>
      <c r="Q24" t="s">
        <v>91</v>
      </c>
    </row>
    <row r="25" spans="1:17" x14ac:dyDescent="0.2">
      <c r="A25" t="s">
        <v>10</v>
      </c>
      <c r="B25" t="s">
        <v>11</v>
      </c>
      <c r="C25" t="s">
        <v>92</v>
      </c>
      <c r="D25" t="s">
        <v>89</v>
      </c>
      <c r="E25">
        <v>1</v>
      </c>
      <c r="F25">
        <v>1</v>
      </c>
      <c r="G25">
        <v>1</v>
      </c>
      <c r="H25">
        <v>47.74</v>
      </c>
      <c r="I25">
        <v>6.5938014883720042</v>
      </c>
      <c r="J25">
        <v>26.247895963659548</v>
      </c>
      <c r="K25">
        <v>10.728744939271261</v>
      </c>
      <c r="L25">
        <v>5.7287449392712553</v>
      </c>
      <c r="O25" t="s">
        <v>55</v>
      </c>
    </row>
    <row r="26" spans="1:17" x14ac:dyDescent="0.2">
      <c r="A26" t="s">
        <v>10</v>
      </c>
      <c r="B26" t="s">
        <v>11</v>
      </c>
      <c r="C26" t="s">
        <v>93</v>
      </c>
      <c r="D26" t="s">
        <v>89</v>
      </c>
      <c r="E26">
        <v>1</v>
      </c>
      <c r="F26">
        <v>0</v>
      </c>
      <c r="G26">
        <v>0</v>
      </c>
      <c r="H26">
        <v>9.73</v>
      </c>
      <c r="O26" t="s">
        <v>61</v>
      </c>
      <c r="P26" t="s">
        <v>85</v>
      </c>
      <c r="Q26" t="s">
        <v>94</v>
      </c>
    </row>
    <row r="27" spans="1:17" x14ac:dyDescent="0.2">
      <c r="A27" t="s">
        <v>10</v>
      </c>
      <c r="B27" t="s">
        <v>11</v>
      </c>
      <c r="C27" t="s">
        <v>95</v>
      </c>
      <c r="D27" t="s">
        <v>89</v>
      </c>
      <c r="E27">
        <v>1</v>
      </c>
      <c r="F27">
        <v>1</v>
      </c>
      <c r="G27">
        <v>1</v>
      </c>
      <c r="H27">
        <v>51.93</v>
      </c>
      <c r="I27">
        <v>4.6799976665677177</v>
      </c>
      <c r="J27">
        <v>20.50552608579855</v>
      </c>
      <c r="K27">
        <v>10.593792172739541</v>
      </c>
      <c r="L27">
        <v>5.5937921727395414</v>
      </c>
      <c r="O27" t="s">
        <v>55</v>
      </c>
    </row>
    <row r="28" spans="1:17" x14ac:dyDescent="0.2">
      <c r="A28" t="s">
        <v>10</v>
      </c>
      <c r="B28" t="s">
        <v>11</v>
      </c>
      <c r="C28" t="s">
        <v>96</v>
      </c>
      <c r="D28" t="s">
        <v>89</v>
      </c>
      <c r="E28">
        <v>1</v>
      </c>
      <c r="F28">
        <v>0</v>
      </c>
      <c r="G28">
        <v>2</v>
      </c>
      <c r="H28">
        <v>70.97</v>
      </c>
      <c r="I28">
        <v>2.4735920221105441</v>
      </c>
      <c r="J28">
        <v>32.480495330022393</v>
      </c>
      <c r="K28">
        <v>5.3306342780026998</v>
      </c>
      <c r="L28">
        <v>0.33063427800269979</v>
      </c>
      <c r="O28" t="s">
        <v>61</v>
      </c>
      <c r="P28" t="s">
        <v>75</v>
      </c>
      <c r="Q28" t="s">
        <v>97</v>
      </c>
    </row>
    <row r="29" spans="1:17" x14ac:dyDescent="0.2">
      <c r="A29" t="s">
        <v>10</v>
      </c>
      <c r="B29" t="s">
        <v>11</v>
      </c>
      <c r="C29" t="s">
        <v>98</v>
      </c>
      <c r="D29" t="s">
        <v>89</v>
      </c>
      <c r="E29">
        <v>1</v>
      </c>
      <c r="F29">
        <v>0</v>
      </c>
      <c r="G29">
        <v>0</v>
      </c>
      <c r="H29">
        <v>5.4</v>
      </c>
      <c r="O29" t="s">
        <v>61</v>
      </c>
      <c r="P29" t="s">
        <v>85</v>
      </c>
      <c r="Q29" t="s">
        <v>99</v>
      </c>
    </row>
    <row r="30" spans="1:17" x14ac:dyDescent="0.2">
      <c r="A30" t="s">
        <v>10</v>
      </c>
      <c r="B30" t="s">
        <v>11</v>
      </c>
      <c r="C30" t="s">
        <v>100</v>
      </c>
      <c r="D30" t="s">
        <v>89</v>
      </c>
      <c r="E30">
        <v>1</v>
      </c>
      <c r="F30">
        <v>1</v>
      </c>
      <c r="G30">
        <v>1</v>
      </c>
      <c r="H30">
        <v>46.75</v>
      </c>
      <c r="I30">
        <v>4.8602833577644677</v>
      </c>
      <c r="J30">
        <v>25.66482528868335</v>
      </c>
      <c r="K30">
        <v>10.728744939271261</v>
      </c>
      <c r="L30">
        <v>5.7287449392712553</v>
      </c>
      <c r="O30" t="s">
        <v>55</v>
      </c>
    </row>
    <row r="31" spans="1:17" x14ac:dyDescent="0.2">
      <c r="A31" t="s">
        <v>10</v>
      </c>
      <c r="B31" t="s">
        <v>11</v>
      </c>
      <c r="C31" t="s">
        <v>101</v>
      </c>
      <c r="D31" t="s">
        <v>89</v>
      </c>
      <c r="E31">
        <v>1</v>
      </c>
      <c r="F31">
        <v>0</v>
      </c>
      <c r="G31">
        <v>2</v>
      </c>
      <c r="H31">
        <v>56.52</v>
      </c>
      <c r="I31">
        <v>0.69896214367545983</v>
      </c>
      <c r="J31">
        <v>26.98840928046117</v>
      </c>
      <c r="K31">
        <v>5.3306342780026998</v>
      </c>
      <c r="L31">
        <v>0.33063427800269979</v>
      </c>
      <c r="O31" t="s">
        <v>61</v>
      </c>
      <c r="P31" t="s">
        <v>102</v>
      </c>
      <c r="Q31" t="s">
        <v>103</v>
      </c>
    </row>
    <row r="32" spans="1:17" x14ac:dyDescent="0.2">
      <c r="A32" t="s">
        <v>10</v>
      </c>
      <c r="B32" t="s">
        <v>11</v>
      </c>
      <c r="C32" t="s">
        <v>104</v>
      </c>
      <c r="D32" t="s">
        <v>89</v>
      </c>
      <c r="E32">
        <v>1</v>
      </c>
      <c r="F32">
        <v>0</v>
      </c>
      <c r="G32">
        <v>2</v>
      </c>
      <c r="H32">
        <v>60.42</v>
      </c>
      <c r="I32">
        <v>4.5678639608261751</v>
      </c>
      <c r="J32">
        <v>33.259112975656393</v>
      </c>
      <c r="K32">
        <v>5.1282051282051277</v>
      </c>
      <c r="L32">
        <v>0.12820512820512769</v>
      </c>
      <c r="O32" t="s">
        <v>61</v>
      </c>
      <c r="P32" t="s">
        <v>102</v>
      </c>
      <c r="Q32" t="s">
        <v>105</v>
      </c>
    </row>
    <row r="33" spans="1:17" x14ac:dyDescent="0.2">
      <c r="A33" t="s">
        <v>10</v>
      </c>
      <c r="B33" t="s">
        <v>27</v>
      </c>
      <c r="C33" t="s">
        <v>106</v>
      </c>
      <c r="D33" t="s">
        <v>54</v>
      </c>
      <c r="E33">
        <v>1</v>
      </c>
      <c r="F33">
        <v>1</v>
      </c>
      <c r="G33">
        <v>1</v>
      </c>
      <c r="H33">
        <v>60.29</v>
      </c>
      <c r="I33">
        <v>0.11867199296808691</v>
      </c>
      <c r="J33">
        <v>4.6285043322184984</v>
      </c>
      <c r="K33">
        <v>10.39136302294197</v>
      </c>
      <c r="L33">
        <v>5.3913630229419702</v>
      </c>
      <c r="O33" t="s">
        <v>55</v>
      </c>
    </row>
    <row r="34" spans="1:17" x14ac:dyDescent="0.2">
      <c r="A34" t="s">
        <v>10</v>
      </c>
      <c r="B34" t="s">
        <v>27</v>
      </c>
      <c r="C34" t="s">
        <v>107</v>
      </c>
      <c r="D34" t="s">
        <v>54</v>
      </c>
      <c r="E34">
        <v>1</v>
      </c>
      <c r="F34">
        <v>1</v>
      </c>
      <c r="G34">
        <v>1</v>
      </c>
      <c r="H34">
        <v>58.28</v>
      </c>
      <c r="I34">
        <v>0.1140562804406924</v>
      </c>
      <c r="J34">
        <v>15.94499046946253</v>
      </c>
      <c r="K34">
        <v>10.323886639676109</v>
      </c>
      <c r="L34">
        <v>5.3238866396761129</v>
      </c>
      <c r="O34" t="s">
        <v>55</v>
      </c>
    </row>
    <row r="35" spans="1:17" x14ac:dyDescent="0.2">
      <c r="A35" t="s">
        <v>10</v>
      </c>
      <c r="B35" t="s">
        <v>27</v>
      </c>
      <c r="C35" t="s">
        <v>108</v>
      </c>
      <c r="D35" t="s">
        <v>54</v>
      </c>
      <c r="E35">
        <v>1</v>
      </c>
      <c r="F35">
        <v>1</v>
      </c>
      <c r="G35">
        <v>1</v>
      </c>
      <c r="H35">
        <v>57.75</v>
      </c>
      <c r="I35">
        <v>0.1914097536096929</v>
      </c>
      <c r="J35">
        <v>22.165517846835051</v>
      </c>
      <c r="K35">
        <v>10.593792172739541</v>
      </c>
      <c r="L35">
        <v>5.5937921727395414</v>
      </c>
      <c r="O35" t="s">
        <v>55</v>
      </c>
    </row>
    <row r="36" spans="1:17" x14ac:dyDescent="0.2">
      <c r="A36" t="s">
        <v>10</v>
      </c>
      <c r="B36" t="s">
        <v>27</v>
      </c>
      <c r="C36" t="s">
        <v>109</v>
      </c>
      <c r="D36" t="s">
        <v>54</v>
      </c>
      <c r="E36">
        <v>1</v>
      </c>
      <c r="F36">
        <v>1</v>
      </c>
      <c r="G36">
        <v>1</v>
      </c>
      <c r="H36">
        <v>59.53</v>
      </c>
      <c r="I36">
        <v>0.24924097903815021</v>
      </c>
      <c r="J36">
        <v>7.2950771038815807</v>
      </c>
      <c r="K36">
        <v>10.796221322537111</v>
      </c>
      <c r="L36">
        <v>5.7962213225371126</v>
      </c>
      <c r="O36" t="s">
        <v>55</v>
      </c>
    </row>
    <row r="37" spans="1:17" x14ac:dyDescent="0.2">
      <c r="A37" t="s">
        <v>10</v>
      </c>
      <c r="B37" t="s">
        <v>27</v>
      </c>
      <c r="C37" t="s">
        <v>110</v>
      </c>
      <c r="D37" t="s">
        <v>54</v>
      </c>
      <c r="E37">
        <v>1</v>
      </c>
      <c r="F37">
        <v>1</v>
      </c>
      <c r="G37">
        <v>2</v>
      </c>
      <c r="H37">
        <v>78.959999999999994</v>
      </c>
      <c r="I37">
        <v>0.44271344936159751</v>
      </c>
      <c r="J37">
        <v>16.837992667770202</v>
      </c>
      <c r="K37">
        <v>10.998650472334679</v>
      </c>
      <c r="L37">
        <v>5.998650472334683</v>
      </c>
      <c r="O37" t="s">
        <v>55</v>
      </c>
      <c r="Q37" t="s">
        <v>111</v>
      </c>
    </row>
    <row r="38" spans="1:17" x14ac:dyDescent="0.2">
      <c r="A38" t="s">
        <v>10</v>
      </c>
      <c r="B38" t="s">
        <v>27</v>
      </c>
      <c r="C38" t="s">
        <v>112</v>
      </c>
      <c r="D38" t="s">
        <v>54</v>
      </c>
      <c r="E38">
        <v>1</v>
      </c>
      <c r="F38">
        <v>1</v>
      </c>
      <c r="G38">
        <v>2</v>
      </c>
      <c r="H38">
        <v>71.22</v>
      </c>
      <c r="I38">
        <v>0.38697689653662959</v>
      </c>
      <c r="J38">
        <v>29.358992899851309</v>
      </c>
      <c r="K38">
        <v>11.33603238866397</v>
      </c>
      <c r="L38">
        <v>6.336032388663968</v>
      </c>
      <c r="O38" t="s">
        <v>55</v>
      </c>
      <c r="Q38" t="s">
        <v>113</v>
      </c>
    </row>
    <row r="39" spans="1:17" x14ac:dyDescent="0.2">
      <c r="A39" t="s">
        <v>10</v>
      </c>
      <c r="B39" t="s">
        <v>27</v>
      </c>
      <c r="C39" t="s">
        <v>114</v>
      </c>
      <c r="D39" t="s">
        <v>54</v>
      </c>
      <c r="E39">
        <v>1</v>
      </c>
      <c r="F39">
        <v>1</v>
      </c>
      <c r="G39">
        <v>2</v>
      </c>
      <c r="H39">
        <v>82.02</v>
      </c>
      <c r="I39">
        <v>0.41481158376220811</v>
      </c>
      <c r="J39">
        <v>22.05436083365338</v>
      </c>
      <c r="K39">
        <v>10.998650472334679</v>
      </c>
      <c r="L39">
        <v>5.998650472334683</v>
      </c>
      <c r="O39" t="s">
        <v>55</v>
      </c>
      <c r="Q39" t="s">
        <v>115</v>
      </c>
    </row>
    <row r="40" spans="1:17" x14ac:dyDescent="0.2">
      <c r="A40" t="s">
        <v>10</v>
      </c>
      <c r="B40" t="s">
        <v>27</v>
      </c>
      <c r="C40" t="s">
        <v>116</v>
      </c>
      <c r="D40" t="s">
        <v>54</v>
      </c>
      <c r="E40">
        <v>1</v>
      </c>
      <c r="F40">
        <v>1</v>
      </c>
      <c r="G40">
        <v>1</v>
      </c>
      <c r="H40">
        <v>59.37</v>
      </c>
      <c r="I40">
        <v>0.16361277756933179</v>
      </c>
      <c r="J40">
        <v>9.0892146455234819</v>
      </c>
      <c r="K40">
        <v>16.126855600539809</v>
      </c>
      <c r="L40">
        <v>11.126855600539811</v>
      </c>
      <c r="O40" t="s">
        <v>55</v>
      </c>
      <c r="Q40" t="s">
        <v>117</v>
      </c>
    </row>
    <row r="41" spans="1:17" x14ac:dyDescent="0.2">
      <c r="A41" t="s">
        <v>10</v>
      </c>
      <c r="B41" t="s">
        <v>27</v>
      </c>
      <c r="C41" t="s">
        <v>118</v>
      </c>
      <c r="D41" t="s">
        <v>54</v>
      </c>
      <c r="E41">
        <v>1</v>
      </c>
      <c r="F41">
        <v>1</v>
      </c>
      <c r="G41">
        <v>1</v>
      </c>
      <c r="H41">
        <v>56.66</v>
      </c>
      <c r="I41">
        <v>0.26858141828779708</v>
      </c>
      <c r="J41">
        <v>3.869372373286593</v>
      </c>
      <c r="K41">
        <v>12.07827260458839</v>
      </c>
      <c r="L41">
        <v>7.0782726045883937</v>
      </c>
      <c r="O41" t="s">
        <v>55</v>
      </c>
    </row>
    <row r="42" spans="1:17" x14ac:dyDescent="0.2">
      <c r="A42" t="s">
        <v>10</v>
      </c>
      <c r="B42" t="s">
        <v>27</v>
      </c>
      <c r="C42" t="s">
        <v>119</v>
      </c>
      <c r="D42" t="s">
        <v>54</v>
      </c>
      <c r="E42">
        <v>1</v>
      </c>
      <c r="F42">
        <v>1</v>
      </c>
      <c r="G42">
        <v>1</v>
      </c>
      <c r="H42">
        <v>57.52</v>
      </c>
      <c r="I42">
        <v>0.24540797109877421</v>
      </c>
      <c r="J42">
        <v>7.3509138865027932</v>
      </c>
      <c r="K42">
        <v>11.133603238866399</v>
      </c>
      <c r="L42">
        <v>6.1336032388663959</v>
      </c>
      <c r="O42" t="s">
        <v>55</v>
      </c>
    </row>
    <row r="43" spans="1:17" x14ac:dyDescent="0.2">
      <c r="A43" t="s">
        <v>10</v>
      </c>
      <c r="B43" t="s">
        <v>27</v>
      </c>
      <c r="C43" t="s">
        <v>120</v>
      </c>
      <c r="D43" t="s">
        <v>28</v>
      </c>
      <c r="E43">
        <v>1</v>
      </c>
      <c r="F43">
        <v>1</v>
      </c>
      <c r="G43">
        <v>2</v>
      </c>
      <c r="H43">
        <v>78.28</v>
      </c>
      <c r="I43">
        <v>2.8719155279537709</v>
      </c>
      <c r="J43">
        <v>26.74545221594968</v>
      </c>
      <c r="K43">
        <v>11.80836707152497</v>
      </c>
      <c r="L43">
        <v>6.808367071524966</v>
      </c>
      <c r="O43" t="s">
        <v>55</v>
      </c>
      <c r="Q43" t="s">
        <v>121</v>
      </c>
    </row>
    <row r="44" spans="1:17" x14ac:dyDescent="0.2">
      <c r="A44" t="s">
        <v>10</v>
      </c>
      <c r="B44" t="s">
        <v>27</v>
      </c>
      <c r="C44" t="s">
        <v>122</v>
      </c>
      <c r="D44" t="s">
        <v>28</v>
      </c>
      <c r="E44">
        <v>1</v>
      </c>
      <c r="F44">
        <v>0</v>
      </c>
      <c r="G44">
        <v>2</v>
      </c>
      <c r="H44">
        <v>69.91</v>
      </c>
      <c r="I44">
        <v>8.4008613176484346</v>
      </c>
      <c r="J44">
        <v>22.65225536555576</v>
      </c>
      <c r="K44">
        <v>5.3306342780026998</v>
      </c>
      <c r="L44">
        <v>0.33063427800269979</v>
      </c>
      <c r="O44" t="s">
        <v>61</v>
      </c>
      <c r="P44" t="s">
        <v>75</v>
      </c>
      <c r="Q44" t="s">
        <v>123</v>
      </c>
    </row>
    <row r="45" spans="1:17" x14ac:dyDescent="0.2">
      <c r="A45" t="s">
        <v>10</v>
      </c>
      <c r="B45" t="s">
        <v>27</v>
      </c>
      <c r="C45" t="s">
        <v>124</v>
      </c>
      <c r="D45" t="s">
        <v>28</v>
      </c>
      <c r="E45">
        <v>1</v>
      </c>
      <c r="F45">
        <v>0</v>
      </c>
      <c r="G45">
        <v>0</v>
      </c>
      <c r="H45">
        <v>16.71</v>
      </c>
      <c r="O45" t="s">
        <v>61</v>
      </c>
      <c r="P45" t="s">
        <v>85</v>
      </c>
      <c r="Q45" t="s">
        <v>125</v>
      </c>
    </row>
    <row r="46" spans="1:17" x14ac:dyDescent="0.2">
      <c r="A46" t="s">
        <v>10</v>
      </c>
      <c r="B46" t="s">
        <v>27</v>
      </c>
      <c r="C46" t="s">
        <v>126</v>
      </c>
      <c r="D46" t="s">
        <v>28</v>
      </c>
      <c r="E46">
        <v>1</v>
      </c>
      <c r="F46">
        <v>1</v>
      </c>
      <c r="G46">
        <v>1</v>
      </c>
      <c r="H46">
        <v>58.84</v>
      </c>
      <c r="I46">
        <v>5.0908936117729811</v>
      </c>
      <c r="J46">
        <v>9.7040359166941972</v>
      </c>
      <c r="K46">
        <v>12.88798920377868</v>
      </c>
      <c r="L46">
        <v>7.8879892037786767</v>
      </c>
      <c r="O46" t="s">
        <v>55</v>
      </c>
    </row>
    <row r="47" spans="1:17" x14ac:dyDescent="0.2">
      <c r="A47" t="s">
        <v>10</v>
      </c>
      <c r="B47" t="s">
        <v>27</v>
      </c>
      <c r="C47" t="s">
        <v>127</v>
      </c>
      <c r="D47" t="s">
        <v>28</v>
      </c>
      <c r="E47">
        <v>1</v>
      </c>
      <c r="F47">
        <v>1</v>
      </c>
      <c r="G47">
        <v>1</v>
      </c>
      <c r="H47">
        <v>60.16</v>
      </c>
      <c r="I47">
        <v>2.0114566871756971</v>
      </c>
      <c r="J47">
        <v>7.626019933694189</v>
      </c>
      <c r="K47">
        <v>12.68556005398111</v>
      </c>
      <c r="L47">
        <v>7.6855600539811064</v>
      </c>
      <c r="O47" t="s">
        <v>55</v>
      </c>
    </row>
    <row r="48" spans="1:17" x14ac:dyDescent="0.2">
      <c r="A48" t="s">
        <v>10</v>
      </c>
      <c r="B48" t="s">
        <v>27</v>
      </c>
      <c r="C48" t="s">
        <v>128</v>
      </c>
      <c r="D48" t="s">
        <v>28</v>
      </c>
      <c r="E48">
        <v>1</v>
      </c>
      <c r="F48">
        <v>1</v>
      </c>
      <c r="G48">
        <v>2</v>
      </c>
      <c r="H48">
        <v>83.24</v>
      </c>
      <c r="I48">
        <v>7.8059751720844144</v>
      </c>
      <c r="J48">
        <v>13.71976922654933</v>
      </c>
      <c r="K48">
        <v>20.715249662618081</v>
      </c>
      <c r="L48">
        <v>15.71524966261808</v>
      </c>
      <c r="O48" t="s">
        <v>55</v>
      </c>
      <c r="Q48" t="s">
        <v>129</v>
      </c>
    </row>
    <row r="49" spans="1:17" x14ac:dyDescent="0.2">
      <c r="A49" t="s">
        <v>10</v>
      </c>
      <c r="B49" t="s">
        <v>27</v>
      </c>
      <c r="C49" t="s">
        <v>130</v>
      </c>
      <c r="D49" t="s">
        <v>28</v>
      </c>
      <c r="E49">
        <v>1</v>
      </c>
      <c r="F49">
        <v>1</v>
      </c>
      <c r="G49">
        <v>1</v>
      </c>
      <c r="H49">
        <v>57.75</v>
      </c>
      <c r="I49">
        <v>2.10461705401976</v>
      </c>
      <c r="J49">
        <v>9.0516171705832829</v>
      </c>
      <c r="K49">
        <v>12.28070175438596</v>
      </c>
      <c r="L49">
        <v>7.280701754385964</v>
      </c>
      <c r="O49" t="s">
        <v>55</v>
      </c>
    </row>
    <row r="50" spans="1:17" x14ac:dyDescent="0.2">
      <c r="A50" t="s">
        <v>10</v>
      </c>
      <c r="B50" t="s">
        <v>27</v>
      </c>
      <c r="C50" t="s">
        <v>131</v>
      </c>
      <c r="D50" t="s">
        <v>28</v>
      </c>
      <c r="E50">
        <v>1</v>
      </c>
      <c r="F50">
        <v>0</v>
      </c>
      <c r="G50">
        <v>0</v>
      </c>
      <c r="H50">
        <v>17.93</v>
      </c>
      <c r="O50" t="s">
        <v>61</v>
      </c>
      <c r="P50" t="s">
        <v>85</v>
      </c>
      <c r="Q50" t="s">
        <v>132</v>
      </c>
    </row>
    <row r="51" spans="1:17" x14ac:dyDescent="0.2">
      <c r="A51" t="s">
        <v>10</v>
      </c>
      <c r="B51" t="s">
        <v>27</v>
      </c>
      <c r="C51" t="s">
        <v>133</v>
      </c>
      <c r="D51" t="s">
        <v>28</v>
      </c>
      <c r="E51">
        <v>1</v>
      </c>
      <c r="F51">
        <v>1</v>
      </c>
      <c r="G51">
        <v>2</v>
      </c>
      <c r="H51">
        <v>81.400000000000006</v>
      </c>
      <c r="I51">
        <v>7.8178059435151379</v>
      </c>
      <c r="J51">
        <v>20.320687773219529</v>
      </c>
      <c r="K51">
        <v>10.323886639676109</v>
      </c>
      <c r="L51">
        <v>5.3238866396761129</v>
      </c>
      <c r="O51" t="s">
        <v>55</v>
      </c>
      <c r="Q51" t="s">
        <v>134</v>
      </c>
    </row>
    <row r="52" spans="1:17" x14ac:dyDescent="0.2">
      <c r="A52" t="s">
        <v>10</v>
      </c>
      <c r="B52" t="s">
        <v>27</v>
      </c>
      <c r="C52" t="s">
        <v>135</v>
      </c>
      <c r="D52" t="s">
        <v>28</v>
      </c>
      <c r="E52">
        <v>1</v>
      </c>
      <c r="F52">
        <v>1</v>
      </c>
      <c r="G52">
        <v>1</v>
      </c>
      <c r="H52">
        <v>65.23</v>
      </c>
      <c r="I52">
        <v>0.70698836279771182</v>
      </c>
      <c r="K52">
        <v>14.5748987854251</v>
      </c>
      <c r="L52">
        <v>9.5748987854251002</v>
      </c>
      <c r="O52" t="s">
        <v>55</v>
      </c>
    </row>
    <row r="53" spans="1:17" x14ac:dyDescent="0.2">
      <c r="A53" t="s">
        <v>10</v>
      </c>
      <c r="B53" t="s">
        <v>27</v>
      </c>
      <c r="C53" t="s">
        <v>136</v>
      </c>
      <c r="D53" t="s">
        <v>89</v>
      </c>
      <c r="E53">
        <v>1</v>
      </c>
      <c r="F53">
        <v>1</v>
      </c>
      <c r="G53">
        <v>1</v>
      </c>
      <c r="H53">
        <v>58.25</v>
      </c>
      <c r="I53">
        <v>2.1794131404884238</v>
      </c>
      <c r="J53">
        <v>8.3916776117199063</v>
      </c>
      <c r="K53">
        <v>10.796221322537111</v>
      </c>
      <c r="L53">
        <v>5.7962213225371126</v>
      </c>
      <c r="O53" t="s">
        <v>55</v>
      </c>
    </row>
    <row r="54" spans="1:17" x14ac:dyDescent="0.2">
      <c r="A54" t="s">
        <v>10</v>
      </c>
      <c r="B54" t="s">
        <v>27</v>
      </c>
      <c r="C54" t="s">
        <v>137</v>
      </c>
      <c r="D54" t="s">
        <v>89</v>
      </c>
      <c r="E54">
        <v>1</v>
      </c>
      <c r="F54">
        <v>1</v>
      </c>
      <c r="G54">
        <v>2</v>
      </c>
      <c r="H54">
        <v>82.49</v>
      </c>
      <c r="I54">
        <v>7.9865592195973338</v>
      </c>
      <c r="J54">
        <v>10.955072593954959</v>
      </c>
      <c r="K54">
        <v>11.33603238866397</v>
      </c>
      <c r="L54">
        <v>6.336032388663968</v>
      </c>
      <c r="O54" t="s">
        <v>55</v>
      </c>
      <c r="Q54" t="s">
        <v>138</v>
      </c>
    </row>
    <row r="55" spans="1:17" x14ac:dyDescent="0.2">
      <c r="A55" t="s">
        <v>10</v>
      </c>
      <c r="B55" t="s">
        <v>27</v>
      </c>
      <c r="C55" t="s">
        <v>139</v>
      </c>
      <c r="D55" t="s">
        <v>89</v>
      </c>
      <c r="E55">
        <v>1</v>
      </c>
      <c r="F55">
        <v>1</v>
      </c>
      <c r="G55">
        <v>1</v>
      </c>
      <c r="H55">
        <v>58.96</v>
      </c>
      <c r="I55">
        <v>2.4720771566249882</v>
      </c>
      <c r="J55">
        <v>5.5673493074736076</v>
      </c>
      <c r="K55">
        <v>12.55060728744939</v>
      </c>
      <c r="L55">
        <v>7.5506072874493917</v>
      </c>
      <c r="O55" t="s">
        <v>55</v>
      </c>
    </row>
    <row r="56" spans="1:17" x14ac:dyDescent="0.2">
      <c r="A56" t="s">
        <v>10</v>
      </c>
      <c r="B56" t="s">
        <v>27</v>
      </c>
      <c r="C56" t="s">
        <v>140</v>
      </c>
      <c r="D56" t="s">
        <v>89</v>
      </c>
      <c r="E56">
        <v>1</v>
      </c>
      <c r="F56">
        <v>0</v>
      </c>
      <c r="G56">
        <v>2</v>
      </c>
      <c r="H56">
        <v>79.92</v>
      </c>
      <c r="I56">
        <v>7.1683100614825186</v>
      </c>
      <c r="J56">
        <v>11.04338820778991</v>
      </c>
      <c r="K56">
        <v>5.1956815114709851</v>
      </c>
      <c r="L56">
        <v>0.19568151147098509</v>
      </c>
      <c r="O56" t="s">
        <v>61</v>
      </c>
      <c r="Q56" t="s">
        <v>141</v>
      </c>
    </row>
    <row r="57" spans="1:17" x14ac:dyDescent="0.2">
      <c r="A57" t="s">
        <v>10</v>
      </c>
      <c r="B57" t="s">
        <v>27</v>
      </c>
      <c r="C57" t="s">
        <v>142</v>
      </c>
      <c r="D57" t="s">
        <v>89</v>
      </c>
      <c r="E57">
        <v>1</v>
      </c>
      <c r="F57">
        <v>0</v>
      </c>
      <c r="G57">
        <v>2</v>
      </c>
      <c r="H57">
        <v>76.48</v>
      </c>
      <c r="I57">
        <v>6.7026610324216689</v>
      </c>
      <c r="J57">
        <v>13.833277345368669</v>
      </c>
      <c r="K57">
        <v>5.1956815114709851</v>
      </c>
      <c r="L57">
        <v>0.19568151147098509</v>
      </c>
      <c r="O57" t="s">
        <v>61</v>
      </c>
      <c r="P57" t="s">
        <v>102</v>
      </c>
      <c r="Q57" t="s">
        <v>143</v>
      </c>
    </row>
    <row r="58" spans="1:17" x14ac:dyDescent="0.2">
      <c r="A58" t="s">
        <v>10</v>
      </c>
      <c r="B58" t="s">
        <v>27</v>
      </c>
      <c r="C58" t="s">
        <v>144</v>
      </c>
      <c r="D58" t="s">
        <v>89</v>
      </c>
      <c r="E58">
        <v>1</v>
      </c>
      <c r="F58">
        <v>1</v>
      </c>
      <c r="G58">
        <v>2</v>
      </c>
      <c r="H58">
        <v>83.89</v>
      </c>
      <c r="I58">
        <v>0.99431015819095703</v>
      </c>
      <c r="J58">
        <v>7.4985865098032818</v>
      </c>
      <c r="K58">
        <v>11.74089068825911</v>
      </c>
      <c r="L58">
        <v>6.7408906882591086</v>
      </c>
      <c r="O58" t="s">
        <v>55</v>
      </c>
    </row>
    <row r="59" spans="1:17" x14ac:dyDescent="0.2">
      <c r="A59" t="s">
        <v>10</v>
      </c>
      <c r="B59" t="s">
        <v>27</v>
      </c>
      <c r="C59" t="s">
        <v>145</v>
      </c>
      <c r="D59" t="s">
        <v>89</v>
      </c>
      <c r="E59">
        <v>1</v>
      </c>
      <c r="F59">
        <v>1</v>
      </c>
      <c r="G59">
        <v>1</v>
      </c>
      <c r="H59">
        <v>59.24</v>
      </c>
      <c r="I59">
        <v>2.4718049382986291</v>
      </c>
      <c r="J59">
        <v>6.2073859710687929</v>
      </c>
      <c r="K59">
        <v>11.87584345479082</v>
      </c>
      <c r="L59">
        <v>6.8758434547908234</v>
      </c>
      <c r="O59" t="s">
        <v>55</v>
      </c>
    </row>
    <row r="60" spans="1:17" x14ac:dyDescent="0.2">
      <c r="A60" t="s">
        <v>10</v>
      </c>
      <c r="B60" t="s">
        <v>27</v>
      </c>
      <c r="C60" t="s">
        <v>146</v>
      </c>
      <c r="D60" t="s">
        <v>89</v>
      </c>
      <c r="E60">
        <v>1</v>
      </c>
      <c r="F60">
        <v>0</v>
      </c>
      <c r="G60">
        <v>2</v>
      </c>
      <c r="H60">
        <v>73</v>
      </c>
      <c r="I60">
        <v>6.0984005475087786</v>
      </c>
      <c r="J60">
        <v>14.39101703014879</v>
      </c>
      <c r="K60">
        <v>5.1956815114709851</v>
      </c>
      <c r="L60">
        <v>0.19568151147098509</v>
      </c>
      <c r="O60" t="s">
        <v>61</v>
      </c>
      <c r="P60" t="s">
        <v>102</v>
      </c>
      <c r="Q60" t="s">
        <v>147</v>
      </c>
    </row>
    <row r="61" spans="1:17" x14ac:dyDescent="0.2">
      <c r="A61" t="s">
        <v>10</v>
      </c>
      <c r="B61" t="s">
        <v>27</v>
      </c>
      <c r="C61" t="s">
        <v>148</v>
      </c>
      <c r="D61" t="s">
        <v>89</v>
      </c>
      <c r="E61">
        <v>1</v>
      </c>
      <c r="F61">
        <v>1</v>
      </c>
      <c r="G61">
        <v>1</v>
      </c>
      <c r="H61">
        <v>59.86</v>
      </c>
      <c r="I61">
        <v>0.7873606109324659</v>
      </c>
      <c r="J61">
        <v>8.0768340982672626</v>
      </c>
      <c r="K61">
        <v>11.40350877192982</v>
      </c>
      <c r="L61">
        <v>6.4035087719298236</v>
      </c>
      <c r="O61" t="s">
        <v>55</v>
      </c>
    </row>
    <row r="62" spans="1:17" x14ac:dyDescent="0.2">
      <c r="A62" t="s">
        <v>10</v>
      </c>
      <c r="B62" t="s">
        <v>27</v>
      </c>
      <c r="C62" t="s">
        <v>149</v>
      </c>
      <c r="D62" t="s">
        <v>89</v>
      </c>
      <c r="E62">
        <v>1</v>
      </c>
      <c r="F62">
        <v>0</v>
      </c>
      <c r="G62">
        <v>2</v>
      </c>
      <c r="H62">
        <v>74.45</v>
      </c>
      <c r="I62">
        <v>5.6369294162145396</v>
      </c>
      <c r="J62">
        <v>10.61022506575055</v>
      </c>
      <c r="K62">
        <v>5.1956815114709851</v>
      </c>
      <c r="L62">
        <v>0.19568151147098509</v>
      </c>
      <c r="O62" t="s">
        <v>61</v>
      </c>
      <c r="P62" t="s">
        <v>102</v>
      </c>
      <c r="Q62" t="s">
        <v>150</v>
      </c>
    </row>
    <row r="63" spans="1:17" x14ac:dyDescent="0.2">
      <c r="A63" t="s">
        <v>15</v>
      </c>
      <c r="B63" t="s">
        <v>11</v>
      </c>
      <c r="C63" t="s">
        <v>151</v>
      </c>
      <c r="D63" t="s">
        <v>54</v>
      </c>
      <c r="E63">
        <v>1</v>
      </c>
      <c r="F63">
        <v>1</v>
      </c>
      <c r="G63">
        <v>2</v>
      </c>
      <c r="H63">
        <v>84.79</v>
      </c>
      <c r="I63">
        <v>0.34385187855607591</v>
      </c>
      <c r="J63">
        <v>3.608259344075865</v>
      </c>
      <c r="K63">
        <v>8.9743589743589745</v>
      </c>
      <c r="L63">
        <v>3.974358974358974</v>
      </c>
      <c r="N63" t="s">
        <v>152</v>
      </c>
      <c r="O63" t="s">
        <v>55</v>
      </c>
      <c r="Q63" t="s">
        <v>153</v>
      </c>
    </row>
    <row r="64" spans="1:17" x14ac:dyDescent="0.2">
      <c r="A64" t="s">
        <v>15</v>
      </c>
      <c r="B64" t="s">
        <v>11</v>
      </c>
      <c r="C64" t="s">
        <v>154</v>
      </c>
      <c r="D64" t="s">
        <v>54</v>
      </c>
      <c r="E64">
        <v>1</v>
      </c>
      <c r="F64">
        <v>1</v>
      </c>
      <c r="G64">
        <v>1</v>
      </c>
      <c r="H64">
        <v>51.63</v>
      </c>
      <c r="I64">
        <v>0.23020937594358071</v>
      </c>
      <c r="J64">
        <v>12.985225709686761</v>
      </c>
      <c r="K64">
        <v>9.4466936572199742</v>
      </c>
      <c r="L64">
        <v>4.4466936572199742</v>
      </c>
      <c r="N64" t="s">
        <v>155</v>
      </c>
      <c r="O64" t="s">
        <v>55</v>
      </c>
    </row>
    <row r="65" spans="1:17" x14ac:dyDescent="0.2">
      <c r="A65" t="s">
        <v>15</v>
      </c>
      <c r="B65" t="s">
        <v>11</v>
      </c>
      <c r="C65" t="s">
        <v>156</v>
      </c>
      <c r="D65" t="s">
        <v>54</v>
      </c>
      <c r="E65">
        <v>1</v>
      </c>
      <c r="F65">
        <v>1</v>
      </c>
      <c r="G65">
        <v>1</v>
      </c>
      <c r="H65">
        <v>48.62</v>
      </c>
      <c r="I65">
        <v>0.14233126656414019</v>
      </c>
      <c r="J65">
        <v>9.0446203609277838</v>
      </c>
      <c r="K65">
        <v>9.4466936572199742</v>
      </c>
      <c r="L65">
        <v>4.4466936572199742</v>
      </c>
      <c r="N65" t="s">
        <v>155</v>
      </c>
      <c r="O65" t="s">
        <v>55</v>
      </c>
    </row>
    <row r="66" spans="1:17" x14ac:dyDescent="0.2">
      <c r="A66" t="s">
        <v>15</v>
      </c>
      <c r="B66" t="s">
        <v>11</v>
      </c>
      <c r="C66" t="s">
        <v>157</v>
      </c>
      <c r="D66" t="s">
        <v>28</v>
      </c>
      <c r="E66">
        <v>1</v>
      </c>
      <c r="F66">
        <v>0</v>
      </c>
      <c r="G66">
        <v>2</v>
      </c>
      <c r="H66">
        <v>84.51</v>
      </c>
      <c r="I66">
        <v>0.29582563210116658</v>
      </c>
      <c r="J66">
        <v>3.0691365399729529</v>
      </c>
      <c r="K66">
        <v>5.2631578947368416</v>
      </c>
      <c r="L66">
        <v>0.26315789473684159</v>
      </c>
      <c r="N66" t="s">
        <v>152</v>
      </c>
      <c r="O66" t="s">
        <v>61</v>
      </c>
      <c r="P66" t="s">
        <v>75</v>
      </c>
      <c r="Q66" t="s">
        <v>230</v>
      </c>
    </row>
    <row r="67" spans="1:17" x14ac:dyDescent="0.2">
      <c r="A67" t="s">
        <v>15</v>
      </c>
      <c r="B67" t="s">
        <v>11</v>
      </c>
      <c r="C67" t="s">
        <v>158</v>
      </c>
      <c r="D67" t="s">
        <v>28</v>
      </c>
      <c r="E67">
        <v>1</v>
      </c>
      <c r="F67">
        <v>0</v>
      </c>
      <c r="G67">
        <v>2</v>
      </c>
      <c r="H67">
        <v>50.46</v>
      </c>
      <c r="I67">
        <v>3.162011289035378</v>
      </c>
      <c r="J67">
        <v>8.4109796688975642</v>
      </c>
      <c r="K67">
        <v>36.977058029689609</v>
      </c>
      <c r="L67">
        <v>31.977058029689609</v>
      </c>
      <c r="N67" t="s">
        <v>155</v>
      </c>
      <c r="O67" t="s">
        <v>61</v>
      </c>
      <c r="P67" t="s">
        <v>75</v>
      </c>
      <c r="Q67" t="s">
        <v>159</v>
      </c>
    </row>
    <row r="68" spans="1:17" x14ac:dyDescent="0.2">
      <c r="A68" t="s">
        <v>15</v>
      </c>
      <c r="B68" t="s">
        <v>11</v>
      </c>
      <c r="C68" t="s">
        <v>160</v>
      </c>
      <c r="D68" t="s">
        <v>28</v>
      </c>
      <c r="E68">
        <v>1</v>
      </c>
      <c r="F68">
        <v>1</v>
      </c>
      <c r="G68">
        <v>2</v>
      </c>
      <c r="H68">
        <v>90.77</v>
      </c>
      <c r="I68">
        <v>0.2469993933704126</v>
      </c>
      <c r="J68">
        <v>14.5281507084179</v>
      </c>
      <c r="K68">
        <v>9.4466936572199742</v>
      </c>
      <c r="L68">
        <v>4.4466936572199742</v>
      </c>
      <c r="N68" t="s">
        <v>155</v>
      </c>
      <c r="O68" t="s">
        <v>55</v>
      </c>
      <c r="Q68" t="s">
        <v>161</v>
      </c>
    </row>
    <row r="69" spans="1:17" x14ac:dyDescent="0.2">
      <c r="A69" t="s">
        <v>15</v>
      </c>
      <c r="B69" t="s">
        <v>11</v>
      </c>
      <c r="C69" t="s">
        <v>162</v>
      </c>
      <c r="D69" t="s">
        <v>89</v>
      </c>
      <c r="E69">
        <v>1</v>
      </c>
      <c r="F69">
        <v>1</v>
      </c>
      <c r="G69">
        <v>1</v>
      </c>
      <c r="H69">
        <v>62.41</v>
      </c>
      <c r="I69">
        <v>0.21719556156688019</v>
      </c>
      <c r="J69">
        <v>9.6214520811931692</v>
      </c>
      <c r="K69">
        <v>9.5141700404858298</v>
      </c>
      <c r="L69">
        <v>4.5141700404858298</v>
      </c>
      <c r="N69" t="s">
        <v>152</v>
      </c>
      <c r="O69" t="s">
        <v>55</v>
      </c>
    </row>
    <row r="70" spans="1:17" x14ac:dyDescent="0.2">
      <c r="A70" t="s">
        <v>15</v>
      </c>
      <c r="B70" t="s">
        <v>11</v>
      </c>
      <c r="C70" t="s">
        <v>163</v>
      </c>
      <c r="D70" t="s">
        <v>89</v>
      </c>
      <c r="E70">
        <v>1</v>
      </c>
      <c r="F70">
        <v>1</v>
      </c>
      <c r="G70">
        <v>1</v>
      </c>
      <c r="H70">
        <v>62.99</v>
      </c>
      <c r="I70">
        <v>0.24159736290563161</v>
      </c>
      <c r="J70">
        <v>4.9980757734419434</v>
      </c>
      <c r="K70">
        <v>9.4466936572199742</v>
      </c>
      <c r="L70">
        <v>4.4466936572199742</v>
      </c>
      <c r="N70" t="s">
        <v>155</v>
      </c>
      <c r="O70" t="s">
        <v>55</v>
      </c>
    </row>
    <row r="71" spans="1:17" x14ac:dyDescent="0.2">
      <c r="A71" t="s">
        <v>15</v>
      </c>
      <c r="B71" t="s">
        <v>11</v>
      </c>
      <c r="C71" t="s">
        <v>164</v>
      </c>
      <c r="D71" t="s">
        <v>89</v>
      </c>
      <c r="E71">
        <v>1</v>
      </c>
      <c r="F71">
        <v>0</v>
      </c>
      <c r="G71">
        <v>0</v>
      </c>
      <c r="H71">
        <v>9.81</v>
      </c>
      <c r="N71" t="s">
        <v>155</v>
      </c>
      <c r="O71" t="s">
        <v>61</v>
      </c>
      <c r="P71" t="s">
        <v>85</v>
      </c>
      <c r="Q71" t="s">
        <v>86</v>
      </c>
    </row>
    <row r="72" spans="1:17" x14ac:dyDescent="0.2">
      <c r="A72" t="s">
        <v>15</v>
      </c>
      <c r="B72" t="s">
        <v>27</v>
      </c>
      <c r="C72" t="s">
        <v>165</v>
      </c>
      <c r="D72" t="s">
        <v>54</v>
      </c>
      <c r="E72">
        <v>1</v>
      </c>
      <c r="F72">
        <v>1</v>
      </c>
      <c r="G72">
        <v>2</v>
      </c>
      <c r="H72">
        <v>86.12</v>
      </c>
      <c r="I72">
        <v>0.37248823234300671</v>
      </c>
      <c r="K72">
        <v>9.7165991902834001</v>
      </c>
      <c r="L72">
        <v>4.7165991902834001</v>
      </c>
      <c r="N72" t="s">
        <v>152</v>
      </c>
      <c r="O72" t="s">
        <v>55</v>
      </c>
      <c r="Q72" t="s">
        <v>166</v>
      </c>
    </row>
    <row r="73" spans="1:17" x14ac:dyDescent="0.2">
      <c r="A73" t="s">
        <v>15</v>
      </c>
      <c r="B73" t="s">
        <v>27</v>
      </c>
      <c r="C73" t="s">
        <v>167</v>
      </c>
      <c r="D73" t="s">
        <v>54</v>
      </c>
      <c r="E73">
        <v>1</v>
      </c>
      <c r="F73">
        <v>1</v>
      </c>
      <c r="G73">
        <v>2</v>
      </c>
      <c r="H73">
        <v>109.93</v>
      </c>
      <c r="I73">
        <v>0.14567852678044391</v>
      </c>
      <c r="K73">
        <v>9.7165991902834001</v>
      </c>
      <c r="L73">
        <v>4.7165991902834001</v>
      </c>
      <c r="N73" t="s">
        <v>155</v>
      </c>
      <c r="O73" t="s">
        <v>55</v>
      </c>
      <c r="Q73" t="s">
        <v>168</v>
      </c>
    </row>
    <row r="74" spans="1:17" x14ac:dyDescent="0.2">
      <c r="A74" t="s">
        <v>15</v>
      </c>
      <c r="B74" t="s">
        <v>27</v>
      </c>
      <c r="C74" t="s">
        <v>169</v>
      </c>
      <c r="D74" t="s">
        <v>54</v>
      </c>
      <c r="E74">
        <v>1</v>
      </c>
      <c r="F74">
        <v>1</v>
      </c>
      <c r="G74">
        <v>1</v>
      </c>
      <c r="H74">
        <v>59.32</v>
      </c>
      <c r="I74">
        <v>0.13470720460644839</v>
      </c>
      <c r="J74">
        <v>2.0875938112629981</v>
      </c>
      <c r="K74">
        <v>9.4466936572199742</v>
      </c>
      <c r="L74">
        <v>4.4466936572199742</v>
      </c>
      <c r="N74" t="s">
        <v>155</v>
      </c>
      <c r="O74" t="s">
        <v>55</v>
      </c>
    </row>
    <row r="75" spans="1:17" x14ac:dyDescent="0.2">
      <c r="A75" t="s">
        <v>15</v>
      </c>
      <c r="B75" t="s">
        <v>27</v>
      </c>
      <c r="C75" t="s">
        <v>170</v>
      </c>
      <c r="D75" t="s">
        <v>28</v>
      </c>
      <c r="E75">
        <v>1</v>
      </c>
      <c r="F75">
        <v>1</v>
      </c>
      <c r="G75">
        <v>1</v>
      </c>
      <c r="H75">
        <v>72.03</v>
      </c>
      <c r="I75">
        <v>0.42198033734348539</v>
      </c>
      <c r="J75">
        <v>7.3198248738650777</v>
      </c>
      <c r="K75">
        <v>9.4466936572199742</v>
      </c>
      <c r="L75">
        <v>4.4466936572199742</v>
      </c>
      <c r="N75" t="s">
        <v>155</v>
      </c>
      <c r="O75" t="s">
        <v>55</v>
      </c>
    </row>
    <row r="76" spans="1:17" x14ac:dyDescent="0.2">
      <c r="A76" t="s">
        <v>15</v>
      </c>
      <c r="B76" t="s">
        <v>27</v>
      </c>
      <c r="C76" t="s">
        <v>171</v>
      </c>
      <c r="D76" t="s">
        <v>28</v>
      </c>
      <c r="E76">
        <v>1</v>
      </c>
      <c r="F76">
        <v>1</v>
      </c>
      <c r="G76">
        <v>1</v>
      </c>
      <c r="H76">
        <v>71.19</v>
      </c>
      <c r="I76">
        <v>0.36722505417772311</v>
      </c>
      <c r="J76">
        <v>13.65826901629327</v>
      </c>
      <c r="K76">
        <v>9.3792172739541151</v>
      </c>
      <c r="L76">
        <v>4.3792172739541151</v>
      </c>
      <c r="N76" t="s">
        <v>155</v>
      </c>
      <c r="O76" t="s">
        <v>55</v>
      </c>
    </row>
    <row r="77" spans="1:17" x14ac:dyDescent="0.2">
      <c r="A77" t="s">
        <v>15</v>
      </c>
      <c r="B77" t="s">
        <v>27</v>
      </c>
      <c r="C77" t="s">
        <v>172</v>
      </c>
      <c r="D77" t="s">
        <v>28</v>
      </c>
      <c r="E77">
        <v>1</v>
      </c>
      <c r="F77">
        <v>0</v>
      </c>
      <c r="G77">
        <v>0</v>
      </c>
      <c r="H77">
        <v>16.2</v>
      </c>
      <c r="N77" t="s">
        <v>155</v>
      </c>
      <c r="O77" t="s">
        <v>61</v>
      </c>
      <c r="P77" t="s">
        <v>85</v>
      </c>
      <c r="Q77" t="s">
        <v>173</v>
      </c>
    </row>
    <row r="78" spans="1:17" x14ac:dyDescent="0.2">
      <c r="A78" t="s">
        <v>15</v>
      </c>
      <c r="B78" t="s">
        <v>27</v>
      </c>
      <c r="C78" t="s">
        <v>174</v>
      </c>
      <c r="D78" t="s">
        <v>89</v>
      </c>
      <c r="E78">
        <v>1</v>
      </c>
      <c r="F78">
        <v>1</v>
      </c>
      <c r="G78">
        <v>1</v>
      </c>
      <c r="H78">
        <v>74.89</v>
      </c>
      <c r="I78">
        <v>0.27019522523989481</v>
      </c>
      <c r="J78">
        <v>4.125311999068229</v>
      </c>
      <c r="K78">
        <v>9.5816464237516872</v>
      </c>
      <c r="L78">
        <v>4.5816464237516872</v>
      </c>
      <c r="N78" t="s">
        <v>152</v>
      </c>
      <c r="O78" t="s">
        <v>55</v>
      </c>
    </row>
    <row r="79" spans="1:17" x14ac:dyDescent="0.2">
      <c r="A79" t="s">
        <v>15</v>
      </c>
      <c r="B79" t="s">
        <v>27</v>
      </c>
      <c r="C79" t="s">
        <v>175</v>
      </c>
      <c r="D79" t="s">
        <v>89</v>
      </c>
      <c r="E79">
        <v>1</v>
      </c>
      <c r="F79">
        <v>0</v>
      </c>
      <c r="G79">
        <v>0</v>
      </c>
      <c r="H79">
        <v>17.579999999999998</v>
      </c>
      <c r="N79" t="s">
        <v>155</v>
      </c>
      <c r="O79" t="s">
        <v>61</v>
      </c>
      <c r="P79" t="s">
        <v>85</v>
      </c>
      <c r="Q79" t="s">
        <v>86</v>
      </c>
    </row>
    <row r="80" spans="1:17" x14ac:dyDescent="0.2">
      <c r="A80" t="s">
        <v>15</v>
      </c>
      <c r="B80" t="s">
        <v>27</v>
      </c>
      <c r="C80" t="s">
        <v>176</v>
      </c>
      <c r="D80" t="s">
        <v>89</v>
      </c>
      <c r="E80">
        <v>1</v>
      </c>
      <c r="F80">
        <v>1</v>
      </c>
      <c r="G80">
        <v>1</v>
      </c>
      <c r="H80">
        <v>74.709999999999994</v>
      </c>
      <c r="I80">
        <v>0.28571204056358029</v>
      </c>
      <c r="J80">
        <v>8.5750390461946679</v>
      </c>
      <c r="K80">
        <v>9.3792172739541151</v>
      </c>
      <c r="L80">
        <v>4.3792172739541151</v>
      </c>
      <c r="N80" t="s">
        <v>155</v>
      </c>
      <c r="O80" t="s">
        <v>55</v>
      </c>
    </row>
  </sheetData>
  <dataValidations count="3">
    <dataValidation type="list" allowBlank="1" sqref="N3:N400" xr:uid="{00000000-0002-0000-0100-000000000000}">
      <formula1>"debout,couche,a plat,sur tranche,aucune"</formula1>
      <formula2>0</formula2>
    </dataValidation>
    <dataValidation type="list" allowBlank="1" sqref="O3:O400" xr:uid="{00000000-0002-0000-0100-000001000000}">
      <formula1>"oui,non"</formula1>
      <formula2>0</formula2>
    </dataValidation>
    <dataValidation type="list" allowBlank="1" sqref="P3:P400" xr:uid="{00000000-0002-0000-0100-000002000000}">
      <formula1>"E1,E2,E3,E4,E5,E6,E7"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5" width="12" customWidth="1"/>
    <col min="6" max="6" width="14" customWidth="1"/>
  </cols>
  <sheetData>
    <row r="1" spans="1:5" ht="16.25" customHeight="1" x14ac:dyDescent="0.2">
      <c r="A1" s="1" t="s">
        <v>177</v>
      </c>
    </row>
    <row r="2" spans="1:5" ht="15" customHeight="1" x14ac:dyDescent="0.2">
      <c r="A2" s="2" t="s">
        <v>178</v>
      </c>
    </row>
    <row r="4" spans="1:5" ht="15" customHeight="1" x14ac:dyDescent="0.2">
      <c r="A4" s="9" t="s">
        <v>179</v>
      </c>
    </row>
    <row r="5" spans="1:5" ht="15" customHeight="1" x14ac:dyDescent="0.2">
      <c r="A5" s="10" t="s">
        <v>3</v>
      </c>
      <c r="B5" s="10" t="s">
        <v>54</v>
      </c>
      <c r="C5" s="10" t="s">
        <v>28</v>
      </c>
      <c r="D5" s="10" t="s">
        <v>89</v>
      </c>
      <c r="E5" s="10" t="s">
        <v>180</v>
      </c>
    </row>
    <row r="6" spans="1:5" ht="15" customHeight="1" x14ac:dyDescent="0.2">
      <c r="A6" s="11" t="s">
        <v>10</v>
      </c>
      <c r="B6" s="12">
        <f>IF(COUNTIFS(Donnees!$A:$A,$A6,Donnees!$D:$D,B5,Donnees!$B:$B,"hsv")=0,"",COUNTIFS(Donnees!$A:$A,$A6,Donnees!$D:$D,B5,Donnees!$B:$B,"hsv",Donnees!$F:$F,1)/COUNTIFS(Donnees!$A:$A,$A6,Donnees!$D:$D,B5,Donnees!$B:$B,"hsv"))</f>
        <v>0.9</v>
      </c>
      <c r="C6" s="12">
        <f>IF(COUNTIFS(Donnees!$A:$A,$A6,Donnees!$D:$D,C5,Donnees!$B:$B,"hsv")=0,"",COUNTIFS(Donnees!$A:$A,$A6,Donnees!$D:$D,C5,Donnees!$B:$B,"hsv",Donnees!$F:$F,1)/COUNTIFS(Donnees!$A:$A,$A6,Donnees!$D:$D,C5,Donnees!$B:$B,"hsv"))</f>
        <v>0.6</v>
      </c>
      <c r="D6" s="12">
        <f>IF(COUNTIFS(Donnees!$A:$A,$A6,Donnees!$D:$D,D5,Donnees!$B:$B,"hsv")=0,"",COUNTIFS(Donnees!$A:$A,$A6,Donnees!$D:$D,D5,Donnees!$B:$B,"hsv",Donnees!$F:$F,1)/COUNTIFS(Donnees!$A:$A,$A6,Donnees!$D:$D,D5,Donnees!$B:$B,"hsv"))</f>
        <v>0.5</v>
      </c>
      <c r="E6" s="12">
        <f>IF(COUNTIFS(Donnees!$A:$A,$A6,Donnees!$B:$B,"hsv")=0,"",COUNTIFS(Donnees!$A:$A,$A6,Donnees!$B:$B,"hsv",Donnees!$F:$F,1)/COUNTIFS(Donnees!$A:$A,$A6,Donnees!$B:$B,"hsv"))</f>
        <v>0.66666666666666663</v>
      </c>
    </row>
    <row r="7" spans="1:5" ht="15" customHeight="1" x14ac:dyDescent="0.2">
      <c r="A7" s="11" t="s">
        <v>15</v>
      </c>
      <c r="B7" s="12">
        <f>IF(COUNTIFS(Donnees!$A:$A,$A7,Donnees!$D:$D,B5,Donnees!$B:$B,"hsv")=0,"",COUNTIFS(Donnees!$A:$A,$A7,Donnees!$D:$D,B5,Donnees!$B:$B,"hsv",Donnees!$F:$F,1)/COUNTIFS(Donnees!$A:$A,$A7,Donnees!$D:$D,B5,Donnees!$B:$B,"hsv"))</f>
        <v>1</v>
      </c>
      <c r="C7" s="12">
        <f>IF(COUNTIFS(Donnees!$A:$A,$A7,Donnees!$D:$D,C5,Donnees!$B:$B,"hsv")=0,"",COUNTIFS(Donnees!$A:$A,$A7,Donnees!$D:$D,C5,Donnees!$B:$B,"hsv",Donnees!$F:$F,1)/COUNTIFS(Donnees!$A:$A,$A7,Donnees!$D:$D,C5,Donnees!$B:$B,"hsv"))</f>
        <v>0.33333333333333331</v>
      </c>
      <c r="D7" s="12">
        <f>IF(COUNTIFS(Donnees!$A:$A,$A7,Donnees!$D:$D,D5,Donnees!$B:$B,"hsv")=0,"",COUNTIFS(Donnees!$A:$A,$A7,Donnees!$D:$D,D5,Donnees!$B:$B,"hsv",Donnees!$F:$F,1)/COUNTIFS(Donnees!$A:$A,$A7,Donnees!$D:$D,D5,Donnees!$B:$B,"hsv"))</f>
        <v>0.66666666666666663</v>
      </c>
      <c r="E7" s="12">
        <f>IF(COUNTIFS(Donnees!$A:$A,$A7,Donnees!$B:$B,"hsv")=0,"",COUNTIFS(Donnees!$A:$A,$A7,Donnees!$B:$B,"hsv",Donnees!$F:$F,1)/COUNTIFS(Donnees!$A:$A,$A7,Donnees!$B:$B,"hsv"))</f>
        <v>0.66666666666666663</v>
      </c>
    </row>
    <row r="8" spans="1:5" ht="15" customHeight="1" x14ac:dyDescent="0.2">
      <c r="A8" s="11" t="s">
        <v>18</v>
      </c>
      <c r="B8" s="12" t="str">
        <f>IF(COUNTIFS(Donnees!$A:$A,$A8,Donnees!$D:$D,B5,Donnees!$B:$B,"hsv")=0,"",COUNTIFS(Donnees!$A:$A,$A8,Donnees!$D:$D,B5,Donnees!$B:$B,"hsv",Donnees!$F:$F,1)/COUNTIFS(Donnees!$A:$A,$A8,Donnees!$D:$D,B5,Donnees!$B:$B,"hsv"))</f>
        <v/>
      </c>
      <c r="C8" s="12" t="str">
        <f>IF(COUNTIFS(Donnees!$A:$A,$A8,Donnees!$D:$D,C5,Donnees!$B:$B,"hsv")=0,"",COUNTIFS(Donnees!$A:$A,$A8,Donnees!$D:$D,C5,Donnees!$B:$B,"hsv",Donnees!$F:$F,1)/COUNTIFS(Donnees!$A:$A,$A8,Donnees!$D:$D,C5,Donnees!$B:$B,"hsv"))</f>
        <v/>
      </c>
      <c r="D8" s="12" t="str">
        <f>IF(COUNTIFS(Donnees!$A:$A,$A8,Donnees!$D:$D,D5,Donnees!$B:$B,"hsv")=0,"",COUNTIFS(Donnees!$A:$A,$A8,Donnees!$D:$D,D5,Donnees!$B:$B,"hsv",Donnees!$F:$F,1)/COUNTIFS(Donnees!$A:$A,$A8,Donnees!$D:$D,D5,Donnees!$B:$B,"hsv"))</f>
        <v/>
      </c>
      <c r="E8" s="12" t="str">
        <f>IF(COUNTIFS(Donnees!$A:$A,$A8,Donnees!$B:$B,"hsv")=0,"",COUNTIFS(Donnees!$A:$A,$A8,Donnees!$B:$B,"hsv",Donnees!$F:$F,1)/COUNTIFS(Donnees!$A:$A,$A8,Donnees!$B:$B,"hsv"))</f>
        <v/>
      </c>
    </row>
    <row r="9" spans="1:5" ht="15" customHeight="1" x14ac:dyDescent="0.2">
      <c r="A9" s="11" t="s">
        <v>21</v>
      </c>
      <c r="B9" s="12" t="str">
        <f>IF(COUNTIFS(Donnees!$A:$A,$A9,Donnees!$D:$D,B5,Donnees!$B:$B,"hsv")=0,"",COUNTIFS(Donnees!$A:$A,$A9,Donnees!$D:$D,B5,Donnees!$B:$B,"hsv",Donnees!$F:$F,1)/COUNTIFS(Donnees!$A:$A,$A9,Donnees!$D:$D,B5,Donnees!$B:$B,"hsv"))</f>
        <v/>
      </c>
      <c r="C9" s="12" t="str">
        <f>IF(COUNTIFS(Donnees!$A:$A,$A9,Donnees!$D:$D,C5,Donnees!$B:$B,"hsv")=0,"",COUNTIFS(Donnees!$A:$A,$A9,Donnees!$D:$D,C5,Donnees!$B:$B,"hsv",Donnees!$F:$F,1)/COUNTIFS(Donnees!$A:$A,$A9,Donnees!$D:$D,C5,Donnees!$B:$B,"hsv"))</f>
        <v/>
      </c>
      <c r="D9" s="12" t="str">
        <f>IF(COUNTIFS(Donnees!$A:$A,$A9,Donnees!$D:$D,D5,Donnees!$B:$B,"hsv")=0,"",COUNTIFS(Donnees!$A:$A,$A9,Donnees!$D:$D,D5,Donnees!$B:$B,"hsv",Donnees!$F:$F,1)/COUNTIFS(Donnees!$A:$A,$A9,Donnees!$D:$D,D5,Donnees!$B:$B,"hsv"))</f>
        <v/>
      </c>
      <c r="E9" s="12" t="str">
        <f>IF(COUNTIFS(Donnees!$A:$A,$A9,Donnees!$B:$B,"hsv")=0,"",COUNTIFS(Donnees!$A:$A,$A9,Donnees!$B:$B,"hsv",Donnees!$F:$F,1)/COUNTIFS(Donnees!$A:$A,$A9,Donnees!$B:$B,"hsv"))</f>
        <v/>
      </c>
    </row>
    <row r="10" spans="1:5" ht="15" customHeight="1" x14ac:dyDescent="0.2">
      <c r="A10" s="11" t="s">
        <v>24</v>
      </c>
      <c r="B10" s="12" t="str">
        <f>IF(COUNTIFS(Donnees!$A:$A,$A10,Donnees!$D:$D,B5,Donnees!$B:$B,"hsv")=0,"",COUNTIFS(Donnees!$A:$A,$A10,Donnees!$D:$D,B5,Donnees!$B:$B,"hsv",Donnees!$F:$F,1)/COUNTIFS(Donnees!$A:$A,$A10,Donnees!$D:$D,B5,Donnees!$B:$B,"hsv"))</f>
        <v/>
      </c>
      <c r="C10" s="12" t="str">
        <f>IF(COUNTIFS(Donnees!$A:$A,$A10,Donnees!$D:$D,C5,Donnees!$B:$B,"hsv")=0,"",COUNTIFS(Donnees!$A:$A,$A10,Donnees!$D:$D,C5,Donnees!$B:$B,"hsv",Donnees!$F:$F,1)/COUNTIFS(Donnees!$A:$A,$A10,Donnees!$D:$D,C5,Donnees!$B:$B,"hsv"))</f>
        <v/>
      </c>
      <c r="D10" s="12" t="str">
        <f>IF(COUNTIFS(Donnees!$A:$A,$A10,Donnees!$D:$D,D5,Donnees!$B:$B,"hsv")=0,"",COUNTIFS(Donnees!$A:$A,$A10,Donnees!$D:$D,D5,Donnees!$B:$B,"hsv",Donnees!$F:$F,1)/COUNTIFS(Donnees!$A:$A,$A10,Donnees!$D:$D,D5,Donnees!$B:$B,"hsv"))</f>
        <v/>
      </c>
      <c r="E10" s="12" t="str">
        <f>IF(COUNTIFS(Donnees!$A:$A,$A10,Donnees!$B:$B,"hsv")=0,"",COUNTIFS(Donnees!$A:$A,$A10,Donnees!$B:$B,"hsv",Donnees!$F:$F,1)/COUNTIFS(Donnees!$A:$A,$A10,Donnees!$B:$B,"hsv"))</f>
        <v/>
      </c>
    </row>
    <row r="13" spans="1:5" ht="15" customHeight="1" x14ac:dyDescent="0.2">
      <c r="A13" s="9" t="s">
        <v>181</v>
      </c>
    </row>
    <row r="14" spans="1:5" ht="15" customHeight="1" x14ac:dyDescent="0.2">
      <c r="A14" s="10" t="s">
        <v>3</v>
      </c>
      <c r="B14" s="10" t="s">
        <v>54</v>
      </c>
      <c r="C14" s="10" t="s">
        <v>28</v>
      </c>
      <c r="D14" s="10" t="s">
        <v>89</v>
      </c>
      <c r="E14" s="10" t="s">
        <v>180</v>
      </c>
    </row>
    <row r="15" spans="1:5" ht="15" customHeight="1" x14ac:dyDescent="0.2">
      <c r="A15" s="11" t="s">
        <v>10</v>
      </c>
      <c r="B15" s="13">
        <f>IF(COUNTIFS(Donnees!$A:$A,$A15,Donnees!$D:$D,B14,Donnees!$B:$B,"hsv")=0,"",COUNTIFS(Donnees!$A:$A,$A15,Donnees!$D:$D,B14,Donnees!$B:$B,"hsv"))</f>
        <v>10</v>
      </c>
      <c r="C15" s="13">
        <f>IF(COUNTIFS(Donnees!$A:$A,$A15,Donnees!$D:$D,C14,Donnees!$B:$B,"hsv")=0,"",COUNTIFS(Donnees!$A:$A,$A15,Donnees!$D:$D,C14,Donnees!$B:$B,"hsv"))</f>
        <v>10</v>
      </c>
      <c r="D15" s="13">
        <f>IF(COUNTIFS(Donnees!$A:$A,$A15,Donnees!$D:$D,D14,Donnees!$B:$B,"hsv")=0,"",COUNTIFS(Donnees!$A:$A,$A15,Donnees!$D:$D,D14,Donnees!$B:$B,"hsv"))</f>
        <v>10</v>
      </c>
      <c r="E15" s="13">
        <f>IF(COUNTIFS(Donnees!$A:$A,$A15,Donnees!$B:$B,"hsv")=0,"",COUNTIFS(Donnees!$A:$A,$A15,Donnees!$B:$B,"hsv"))</f>
        <v>30</v>
      </c>
    </row>
    <row r="16" spans="1:5" ht="15" customHeight="1" x14ac:dyDescent="0.2">
      <c r="A16" s="11" t="s">
        <v>15</v>
      </c>
      <c r="B16" s="13">
        <f>IF(COUNTIFS(Donnees!$A:$A,$A16,Donnees!$D:$D,B14,Donnees!$B:$B,"hsv")=0,"",COUNTIFS(Donnees!$A:$A,$A16,Donnees!$D:$D,B14,Donnees!$B:$B,"hsv"))</f>
        <v>3</v>
      </c>
      <c r="C16" s="13">
        <f>IF(COUNTIFS(Donnees!$A:$A,$A16,Donnees!$D:$D,C14,Donnees!$B:$B,"hsv")=0,"",COUNTIFS(Donnees!$A:$A,$A16,Donnees!$D:$D,C14,Donnees!$B:$B,"hsv"))</f>
        <v>3</v>
      </c>
      <c r="D16" s="13">
        <f>IF(COUNTIFS(Donnees!$A:$A,$A16,Donnees!$D:$D,D14,Donnees!$B:$B,"hsv")=0,"",COUNTIFS(Donnees!$A:$A,$A16,Donnees!$D:$D,D14,Donnees!$B:$B,"hsv"))</f>
        <v>3</v>
      </c>
      <c r="E16" s="13">
        <f>IF(COUNTIFS(Donnees!$A:$A,$A16,Donnees!$B:$B,"hsv")=0,"",COUNTIFS(Donnees!$A:$A,$A16,Donnees!$B:$B,"hsv"))</f>
        <v>9</v>
      </c>
    </row>
    <row r="17" spans="1:7" ht="15" customHeight="1" x14ac:dyDescent="0.2">
      <c r="A17" s="11" t="s">
        <v>18</v>
      </c>
      <c r="B17" s="13" t="str">
        <f>IF(COUNTIFS(Donnees!$A:$A,$A17,Donnees!$D:$D,B14,Donnees!$B:$B,"hsv")=0,"",COUNTIFS(Donnees!$A:$A,$A17,Donnees!$D:$D,B14,Donnees!$B:$B,"hsv"))</f>
        <v/>
      </c>
      <c r="C17" s="13" t="str">
        <f>IF(COUNTIFS(Donnees!$A:$A,$A17,Donnees!$D:$D,C14,Donnees!$B:$B,"hsv")=0,"",COUNTIFS(Donnees!$A:$A,$A17,Donnees!$D:$D,C14,Donnees!$B:$B,"hsv"))</f>
        <v/>
      </c>
      <c r="D17" s="13" t="str">
        <f>IF(COUNTIFS(Donnees!$A:$A,$A17,Donnees!$D:$D,D14,Donnees!$B:$B,"hsv")=0,"",COUNTIFS(Donnees!$A:$A,$A17,Donnees!$D:$D,D14,Donnees!$B:$B,"hsv"))</f>
        <v/>
      </c>
      <c r="E17" s="13" t="str">
        <f>IF(COUNTIFS(Donnees!$A:$A,$A17,Donnees!$B:$B,"hsv")=0,"",COUNTIFS(Donnees!$A:$A,$A17,Donnees!$B:$B,"hsv"))</f>
        <v/>
      </c>
    </row>
    <row r="18" spans="1:7" ht="15" customHeight="1" x14ac:dyDescent="0.2">
      <c r="A18" s="11" t="s">
        <v>21</v>
      </c>
      <c r="B18" s="13" t="str">
        <f>IF(COUNTIFS(Donnees!$A:$A,$A18,Donnees!$D:$D,B14,Donnees!$B:$B,"hsv")=0,"",COUNTIFS(Donnees!$A:$A,$A18,Donnees!$D:$D,B14,Donnees!$B:$B,"hsv"))</f>
        <v/>
      </c>
      <c r="C18" s="13" t="str">
        <f>IF(COUNTIFS(Donnees!$A:$A,$A18,Donnees!$D:$D,C14,Donnees!$B:$B,"hsv")=0,"",COUNTIFS(Donnees!$A:$A,$A18,Donnees!$D:$D,C14,Donnees!$B:$B,"hsv"))</f>
        <v/>
      </c>
      <c r="D18" s="13" t="str">
        <f>IF(COUNTIFS(Donnees!$A:$A,$A18,Donnees!$D:$D,D14,Donnees!$B:$B,"hsv")=0,"",COUNTIFS(Donnees!$A:$A,$A18,Donnees!$D:$D,D14,Donnees!$B:$B,"hsv"))</f>
        <v/>
      </c>
      <c r="E18" s="13" t="str">
        <f>IF(COUNTIFS(Donnees!$A:$A,$A18,Donnees!$B:$B,"hsv")=0,"",COUNTIFS(Donnees!$A:$A,$A18,Donnees!$B:$B,"hsv"))</f>
        <v/>
      </c>
    </row>
    <row r="19" spans="1:7" ht="15" customHeight="1" x14ac:dyDescent="0.2">
      <c r="A19" s="11" t="s">
        <v>24</v>
      </c>
      <c r="B19" s="13" t="str">
        <f>IF(COUNTIFS(Donnees!$A:$A,$A19,Donnees!$D:$D,B14,Donnees!$B:$B,"hsv")=0,"",COUNTIFS(Donnees!$A:$A,$A19,Donnees!$D:$D,B14,Donnees!$B:$B,"hsv"))</f>
        <v/>
      </c>
      <c r="C19" s="13" t="str">
        <f>IF(COUNTIFS(Donnees!$A:$A,$A19,Donnees!$D:$D,C14,Donnees!$B:$B,"hsv")=0,"",COUNTIFS(Donnees!$A:$A,$A19,Donnees!$D:$D,C14,Donnees!$B:$B,"hsv"))</f>
        <v/>
      </c>
      <c r="D19" s="13" t="str">
        <f>IF(COUNTIFS(Donnees!$A:$A,$A19,Donnees!$D:$D,D14,Donnees!$B:$B,"hsv")=0,"",COUNTIFS(Donnees!$A:$A,$A19,Donnees!$D:$D,D14,Donnees!$B:$B,"hsv"))</f>
        <v/>
      </c>
      <c r="E19" s="13" t="str">
        <f>IF(COUNTIFS(Donnees!$A:$A,$A19,Donnees!$B:$B,"hsv")=0,"",COUNTIFS(Donnees!$A:$A,$A19,Donnees!$B:$B,"hsv"))</f>
        <v/>
      </c>
    </row>
    <row r="22" spans="1:7" ht="15" customHeight="1" x14ac:dyDescent="0.2">
      <c r="A22" s="9" t="s">
        <v>182</v>
      </c>
    </row>
    <row r="23" spans="1:7" ht="15" customHeight="1" x14ac:dyDescent="0.2">
      <c r="A23" s="14" t="s">
        <v>75</v>
      </c>
      <c r="B23" s="14" t="s">
        <v>85</v>
      </c>
      <c r="C23" s="14" t="s">
        <v>102</v>
      </c>
      <c r="D23" s="14" t="s">
        <v>80</v>
      </c>
      <c r="E23" s="14" t="s">
        <v>72</v>
      </c>
      <c r="F23" s="14" t="s">
        <v>183</v>
      </c>
      <c r="G23" s="14" t="s">
        <v>184</v>
      </c>
    </row>
    <row r="24" spans="1:7" ht="15" customHeight="1" x14ac:dyDescent="0.2">
      <c r="A24" s="15">
        <f>COUNTIF(Donnees!$P:$P,"E1")</f>
        <v>6</v>
      </c>
      <c r="B24" s="15">
        <f>COUNTIF(Donnees!$P:$P,"E2")</f>
        <v>8</v>
      </c>
      <c r="C24" s="15">
        <f>COUNTIF(Donnees!$P:$P,"E3")</f>
        <v>5</v>
      </c>
      <c r="D24" s="15">
        <f>COUNTIF(Donnees!$P:$P,"E4")</f>
        <v>1</v>
      </c>
      <c r="E24" s="15">
        <f>COUNTIF(Donnees!$P:$P,"E5")</f>
        <v>1</v>
      </c>
      <c r="F24" s="15">
        <f>COUNTIF(Donnees!$P:$P,"E6")</f>
        <v>0</v>
      </c>
      <c r="G24" s="15">
        <f>COUNTIF(Donnees!$P:$P,"E7")</f>
        <v>0</v>
      </c>
    </row>
    <row r="25" spans="1:7" ht="15" customHeight="1" x14ac:dyDescent="0.2">
      <c r="A25" s="16" t="s">
        <v>185</v>
      </c>
      <c r="B25" s="16" t="s">
        <v>186</v>
      </c>
      <c r="C25" s="16" t="s">
        <v>187</v>
      </c>
      <c r="D25" s="16" t="s">
        <v>188</v>
      </c>
      <c r="E25" s="16" t="s">
        <v>189</v>
      </c>
      <c r="F25" s="16" t="s">
        <v>190</v>
      </c>
      <c r="G25" s="16" t="s">
        <v>191</v>
      </c>
    </row>
    <row r="27" spans="1:7" ht="15" customHeight="1" x14ac:dyDescent="0.2">
      <c r="A27" s="9" t="s">
        <v>192</v>
      </c>
    </row>
    <row r="28" spans="1:7" ht="15" customHeight="1" x14ac:dyDescent="0.2">
      <c r="A28" s="17" t="s">
        <v>193</v>
      </c>
      <c r="C28" s="18">
        <f>IFERROR(AVERAGE(Donnees!I:I),"")</f>
        <v>2.0422794317787218</v>
      </c>
    </row>
    <row r="29" spans="1:7" ht="15" customHeight="1" x14ac:dyDescent="0.2">
      <c r="A29" s="17" t="s">
        <v>194</v>
      </c>
      <c r="C29" s="18">
        <f>IFERROR(AVERAGE(Donnees!J:J),"")</f>
        <v>13.279047962473619</v>
      </c>
    </row>
    <row r="31" spans="1:7" ht="15" customHeight="1" x14ac:dyDescent="0.2">
      <c r="A31" s="9" t="s">
        <v>195</v>
      </c>
    </row>
    <row r="32" spans="1:7" ht="15" customHeight="1" x14ac:dyDescent="0.2">
      <c r="A32" s="19" t="s">
        <v>3</v>
      </c>
      <c r="B32" s="14" t="s">
        <v>28</v>
      </c>
    </row>
    <row r="33" spans="1:2" ht="15" customHeight="1" x14ac:dyDescent="0.2">
      <c r="A33" s="17" t="s">
        <v>10</v>
      </c>
      <c r="B33" s="20">
        <f>IF(COUNTIFS(Donnees!$A:$A,$A33,Donnees!$D:$D,"mi",Donnees!$B:$B,"hf")=0,"",COUNTIFS(Donnees!$A:$A,$A33,Donnees!$D:$D,"mi",Donnees!$B:$B,"hf",Donnees!$F:$F,1)/COUNTIFS(Donnees!$A:$A,$A33,Donnees!$D:$D,"mi",Donnees!$B:$B,"hf"))</f>
        <v>0.7</v>
      </c>
    </row>
    <row r="34" spans="1:2" ht="15" customHeight="1" x14ac:dyDescent="0.2">
      <c r="A34" s="17" t="s">
        <v>24</v>
      </c>
      <c r="B34" s="20" t="str">
        <f>IF(COUNTIFS(Donnees!$A:$A,$A34,Donnees!$D:$D,"mi",Donnees!$B:$B,"hf")=0,"",COUNTIFS(Donnees!$A:$A,$A34,Donnees!$D:$D,"mi",Donnees!$B:$B,"hf",Donnees!$F:$F,1)/COUNTIFS(Donnees!$A:$A,$A34,Donnees!$D:$D,"mi",Donnees!$B:$B,"hf"))</f>
        <v/>
      </c>
    </row>
    <row r="35" spans="1:2" ht="15" customHeight="1" x14ac:dyDescent="0.2">
      <c r="A35" s="17" t="s">
        <v>18</v>
      </c>
      <c r="B35" s="20" t="str">
        <f>IF(COUNTIFS(Donnees!$A:$A,$A35,Donnees!$D:$D,"mi",Donnees!$B:$B,"hf")=0,"",COUNTIFS(Donnees!$A:$A,$A35,Donnees!$D:$D,"mi",Donnees!$B:$B,"hf",Donnees!$F:$F,1)/COUNTIFS(Donnees!$A:$A,$A35,Donnees!$D:$D,"mi",Donnees!$B:$B,"hf"))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00" customWidth="1"/>
  </cols>
  <sheetData>
    <row r="1" spans="1:2" ht="16.25" customHeight="1" x14ac:dyDescent="0.2">
      <c r="A1" s="1" t="s">
        <v>196</v>
      </c>
    </row>
    <row r="2" spans="1:2" ht="15" customHeight="1" x14ac:dyDescent="0.2">
      <c r="A2" s="21"/>
      <c r="B2" s="17"/>
    </row>
    <row r="3" spans="1:2" ht="15" customHeight="1" x14ac:dyDescent="0.2">
      <c r="A3" s="9" t="s">
        <v>197</v>
      </c>
    </row>
    <row r="4" spans="1:2" ht="15" customHeight="1" x14ac:dyDescent="0.2">
      <c r="A4" s="21" t="s">
        <v>49</v>
      </c>
      <c r="B4" s="17" t="s">
        <v>198</v>
      </c>
    </row>
    <row r="5" spans="1:2" ht="15" customHeight="1" x14ac:dyDescent="0.2">
      <c r="A5" s="21" t="s">
        <v>50</v>
      </c>
      <c r="B5" s="17" t="s">
        <v>199</v>
      </c>
    </row>
    <row r="6" spans="1:2" ht="15" customHeight="1" x14ac:dyDescent="0.2">
      <c r="A6" s="21" t="s">
        <v>51</v>
      </c>
      <c r="B6" s="17" t="s">
        <v>200</v>
      </c>
    </row>
    <row r="7" spans="1:2" ht="15" customHeight="1" x14ac:dyDescent="0.2">
      <c r="A7" s="21" t="s">
        <v>52</v>
      </c>
      <c r="B7" s="17" t="s">
        <v>201</v>
      </c>
    </row>
    <row r="8" spans="1:2" ht="15" customHeight="1" x14ac:dyDescent="0.2">
      <c r="A8" s="21"/>
      <c r="B8" s="17"/>
    </row>
    <row r="9" spans="1:2" ht="15" customHeight="1" x14ac:dyDescent="0.2">
      <c r="A9" s="9" t="s">
        <v>202</v>
      </c>
    </row>
    <row r="10" spans="1:2" ht="15" customHeight="1" x14ac:dyDescent="0.2">
      <c r="A10" s="21" t="s">
        <v>75</v>
      </c>
      <c r="B10" s="17" t="s">
        <v>203</v>
      </c>
    </row>
    <row r="11" spans="1:2" ht="15" customHeight="1" x14ac:dyDescent="0.2">
      <c r="A11" s="21" t="s">
        <v>85</v>
      </c>
      <c r="B11" s="17" t="s">
        <v>204</v>
      </c>
    </row>
    <row r="12" spans="1:2" ht="15" customHeight="1" x14ac:dyDescent="0.2">
      <c r="A12" s="21" t="s">
        <v>102</v>
      </c>
      <c r="B12" s="17" t="s">
        <v>205</v>
      </c>
    </row>
    <row r="13" spans="1:2" ht="15" customHeight="1" x14ac:dyDescent="0.2">
      <c r="A13" s="21" t="s">
        <v>80</v>
      </c>
      <c r="B13" s="17" t="s">
        <v>206</v>
      </c>
    </row>
    <row r="14" spans="1:2" ht="15" customHeight="1" x14ac:dyDescent="0.2">
      <c r="A14" s="21" t="s">
        <v>72</v>
      </c>
      <c r="B14" s="17" t="s">
        <v>207</v>
      </c>
    </row>
    <row r="15" spans="1:2" ht="15" customHeight="1" x14ac:dyDescent="0.2">
      <c r="A15" s="21" t="s">
        <v>183</v>
      </c>
      <c r="B15" s="17" t="s">
        <v>208</v>
      </c>
    </row>
    <row r="16" spans="1:2" ht="15" customHeight="1" x14ac:dyDescent="0.2">
      <c r="A16" s="21" t="s">
        <v>184</v>
      </c>
      <c r="B16" s="17" t="s">
        <v>209</v>
      </c>
    </row>
    <row r="17" spans="1:2" ht="15" customHeight="1" x14ac:dyDescent="0.2">
      <c r="A17" s="21"/>
      <c r="B17" s="17"/>
    </row>
    <row r="18" spans="1:2" ht="15" customHeight="1" x14ac:dyDescent="0.2">
      <c r="A18" s="9" t="s">
        <v>210</v>
      </c>
    </row>
    <row r="19" spans="1:2" ht="15" customHeight="1" x14ac:dyDescent="0.2">
      <c r="A19" s="21" t="s">
        <v>41</v>
      </c>
      <c r="B19" s="17" t="s">
        <v>211</v>
      </c>
    </row>
    <row r="20" spans="1:2" ht="15" customHeight="1" x14ac:dyDescent="0.2">
      <c r="A20" s="21" t="s">
        <v>42</v>
      </c>
      <c r="B20" s="17" t="s">
        <v>212</v>
      </c>
    </row>
    <row r="21" spans="1:2" ht="15" customHeight="1" x14ac:dyDescent="0.2">
      <c r="A21" s="21" t="s">
        <v>43</v>
      </c>
      <c r="B21" s="17" t="s">
        <v>213</v>
      </c>
    </row>
    <row r="22" spans="1:2" ht="15" customHeight="1" x14ac:dyDescent="0.2">
      <c r="A22" s="21" t="s">
        <v>44</v>
      </c>
      <c r="B22" s="17" t="s">
        <v>214</v>
      </c>
    </row>
    <row r="23" spans="1:2" ht="15" customHeight="1" x14ac:dyDescent="0.2">
      <c r="A23" s="21" t="s">
        <v>45</v>
      </c>
      <c r="B23" s="17" t="s">
        <v>215</v>
      </c>
    </row>
    <row r="24" spans="1:2" ht="15" customHeight="1" x14ac:dyDescent="0.2">
      <c r="A24" s="21"/>
      <c r="B24" s="17"/>
    </row>
    <row r="25" spans="1:2" ht="15" customHeight="1" x14ac:dyDescent="0.2">
      <c r="A25" s="9" t="s">
        <v>216</v>
      </c>
    </row>
    <row r="26" spans="1:2" ht="15" customHeight="1" x14ac:dyDescent="0.2">
      <c r="A26" s="21" t="s">
        <v>217</v>
      </c>
      <c r="B26" s="17" t="s">
        <v>218</v>
      </c>
    </row>
    <row r="27" spans="1:2" ht="15" customHeight="1" x14ac:dyDescent="0.2">
      <c r="A27" s="21" t="s">
        <v>219</v>
      </c>
      <c r="B27" s="17" t="s">
        <v>220</v>
      </c>
    </row>
    <row r="28" spans="1:2" ht="15" customHeight="1" x14ac:dyDescent="0.2">
      <c r="A28" s="21"/>
      <c r="B28" s="17"/>
    </row>
    <row r="29" spans="1:2" ht="15" customHeight="1" x14ac:dyDescent="0.2">
      <c r="A29" s="9" t="s">
        <v>221</v>
      </c>
    </row>
    <row r="30" spans="1:2" ht="15" customHeight="1" x14ac:dyDescent="0.2">
      <c r="A30" s="21" t="s">
        <v>222</v>
      </c>
      <c r="B30" s="17" t="s">
        <v>223</v>
      </c>
    </row>
    <row r="31" spans="1:2" ht="15" customHeight="1" x14ac:dyDescent="0.2">
      <c r="A31" s="21" t="s">
        <v>224</v>
      </c>
      <c r="B31" s="17" t="s">
        <v>225</v>
      </c>
    </row>
    <row r="32" spans="1:2" ht="15" customHeight="1" x14ac:dyDescent="0.2">
      <c r="A32" s="21" t="s">
        <v>226</v>
      </c>
      <c r="B32" s="17" t="s">
        <v>227</v>
      </c>
    </row>
    <row r="33" spans="1:2" ht="15" customHeight="1" x14ac:dyDescent="0.2">
      <c r="A33" s="21" t="s">
        <v>228</v>
      </c>
      <c r="B33" s="17" t="s">
        <v>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</vt:lpstr>
      <vt:lpstr>Donnees</vt:lpstr>
      <vt:lpstr>Synthese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Maxence Chanier</cp:lastModifiedBy>
  <cp:revision>0</cp:revision>
  <dcterms:created xsi:type="dcterms:W3CDTF">2026-06-27T09:54:07Z</dcterms:created>
  <dcterms:modified xsi:type="dcterms:W3CDTF">2026-06-28T09:55:45Z</dcterms:modified>
  <dc:language>fr-CH</dc:language>
</cp:coreProperties>
</file>